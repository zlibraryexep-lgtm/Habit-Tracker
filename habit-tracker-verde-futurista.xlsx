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22.xml" ContentType="application/vnd.openxmlformats-officedocument.drawingml.chart+xml"/>
  <Override PartName="/xl/charts/chart4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EMANA" sheetId="2" state="visible" r:id="rId4"/>
    <sheet name="DASHBOARD" sheetId="3" state="visible" r:id="rId5"/>
    <sheet name="CONFIG" sheetId="4" state="visible" r:id="rId6"/>
    <sheet name="FOCU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<sst xmlns="http://schemas.openxmlformats.org/spreadsheetml/2006/main" count="96" uniqueCount="76">
  <si>
    <t xml:space="preserve">HABIT TRACKER</t>
  </si>
  <si>
    <t xml:space="preserve">HÁBITOS</t>
  </si>
  <si>
    <t xml:space="preserve">COMPLETADOS</t>
  </si>
  <si>
    <t xml:space="preserve">PROGRESO</t>
  </si>
  <si>
    <t xml:space="preserve">RACHA</t>
  </si>
  <si>
    <t xml:space="preserve">FEELING 😊</t>
  </si>
  <si>
    <t xml:space="preserve">HÁBITO</t>
  </si>
  <si>
    <t xml:space="preserve">TOTAL</t>
  </si>
  <si>
    <t xml:space="preserve">DAILY CHECK-IN</t>
  </si>
  <si>
    <t xml:space="preserve">TODO OK?</t>
  </si>
  <si>
    <t xml:space="preserve">SI</t>
  </si>
  <si>
    <t xml:space="preserve">NO</t>
  </si>
  <si>
    <t xml:space="preserve">SUEÑO (hs)</t>
  </si>
  <si>
    <t xml:space="preserve">CALORÍAS</t>
  </si>
  <si>
    <t xml:space="preserve">NOTAS / HECHOS RELEVANTES</t>
  </si>
  <si>
    <t xml:space="preserve">Escribí acá victorias, aprendizajes, errores, decisiones o cualquier hecho que quieras recordar.</t>
  </si>
  <si>
    <t xml:space="preserve">EVOLUCIÓN MENSUAL DE HÁBITOS</t>
  </si>
  <si>
    <t xml:space="preserve">% DÍA</t>
  </si>
  <si>
    <t xml:space="preserve">% cumplido</t>
  </si>
  <si>
    <t xml:space="preserve">OBJETIVO</t>
  </si>
  <si>
    <t xml:space="preserve">Objetivo</t>
  </si>
  <si>
    <t xml:space="preserve">SEGUIMIENTO SEMANAL</t>
  </si>
  <si>
    <t xml:space="preserve">SEMANA</t>
  </si>
  <si>
    <t xml:space="preserve">TAREAS DEL DÍA</t>
  </si>
  <si>
    <t xml:space="preserve">MONTHLY OVERVIEW</t>
  </si>
  <si>
    <t xml:space="preserve">PROMEDIO</t>
  </si>
  <si>
    <t xml:space="preserve">DÍAS OK</t>
  </si>
  <si>
    <t xml:space="preserve">MEJOR DÍA</t>
  </si>
  <si>
    <t xml:space="preserve">HÁBITOS · CUMPLIMIENTO</t>
  </si>
  <si>
    <t xml:space="preserve">EVOLUCIÓN</t>
  </si>
  <si>
    <t xml:space="preserve">%</t>
  </si>
  <si>
    <t xml:space="preserve">DÍAS</t>
  </si>
  <si>
    <t xml:space="preserve">ESTADO</t>
  </si>
  <si>
    <t xml:space="preserve">DÍA</t>
  </si>
  <si>
    <t xml:space="preserve">SCORE</t>
  </si>
  <si>
    <t xml:space="preserve">0 / 1 = hábitos · TODO OK? = evaluación general · FEELING = 1–10</t>
  </si>
  <si>
    <t xml:space="preserve">HÁBITOS · GRÁFICOS</t>
  </si>
  <si>
    <t xml:space="preserve">DIAS</t>
  </si>
  <si>
    <t xml:space="preserve">Cumplido</t>
  </si>
  <si>
    <t xml:space="preserve">No cumplido</t>
  </si>
  <si>
    <t xml:space="preserve">Sin registrar</t>
  </si>
  <si>
    <t xml:space="preserve">PROGRESO · VISTA MENSUAL</t>
  </si>
  <si>
    <t xml:space="preserve">SEMANA 1 · VISTA RÁPIDA</t>
  </si>
  <si>
    <t xml:space="preserve">SUEÑO Y CALORÍAS</t>
  </si>
  <si>
    <t xml:space="preserve">Promedio sueño</t>
  </si>
  <si>
    <t xml:space="preserve">Meta</t>
  </si>
  <si>
    <t xml:space="preserve">Promedio calorías</t>
  </si>
  <si>
    <t xml:space="preserve">Horas de sueño por día</t>
  </si>
  <si>
    <t xml:space="preserve">Calorías consumidas por día</t>
  </si>
  <si>
    <t xml:space="preserve">CONFIGURACIÓN</t>
  </si>
  <si>
    <t xml:space="preserve">Año</t>
  </si>
  <si>
    <t xml:space="preserve">Meta de sueño (hs)</t>
  </si>
  <si>
    <t xml:space="preserve">Mes (1–12)</t>
  </si>
  <si>
    <t xml:space="preserve">Meta de calorías (kcal)</t>
  </si>
  <si>
    <t xml:space="preserve">Objetivo diario (%)</t>
  </si>
  <si>
    <t xml:space="preserve">Día considerado cumplido si alcanza este porcentaje.</t>
  </si>
  <si>
    <t xml:space="preserve">TUS 10 HÁBITOS</t>
  </si>
  <si>
    <t xml:space="preserve">Estudiar</t>
  </si>
  <si>
    <t xml:space="preserve">Entrenar</t>
  </si>
  <si>
    <t xml:space="preserve">Modulo Inglés</t>
  </si>
  <si>
    <t xml:space="preserve">-Flashcards</t>
  </si>
  <si>
    <t xml:space="preserve">-Input / idioma</t>
  </si>
  <si>
    <t xml:space="preserve">-Lectura english</t>
  </si>
  <si>
    <t xml:space="preserve">-Grammar</t>
  </si>
  <si>
    <t xml:space="preserve">-Input Gamer</t>
  </si>
  <si>
    <t xml:space="preserve">Leer 1h</t>
  </si>
  <si>
    <t xml:space="preserve">Mindfulness</t>
  </si>
  <si>
    <t xml:space="preserve">MODO FOCUS</t>
  </si>
  <si>
    <t xml:space="preserve">Un corte, una tarea. Sin distracciones.</t>
  </si>
  <si>
    <t xml:space="preserve">TAREA ACTUAL</t>
  </si>
  <si>
    <t xml:space="preserve">TEMPORIZADOR</t>
  </si>
  <si>
    <t xml:space="preserve">Inicio</t>
  </si>
  <si>
    <t xml:space="preserve">09:00</t>
  </si>
  <si>
    <t xml:space="preserve">Duración (min)</t>
  </si>
  <si>
    <t xml:space="preserve">Fin</t>
  </si>
  <si>
    <t xml:space="preserve">"La disciplina no ruge todos los días.
Solo corta, en silencio, una vez más."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</si>
</sst>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%"/>
    <numFmt numFmtId="167" formatCode="[&lt;=3]&quot;😟 &quot;0.0;[&lt;=7]&quot;😐 &quot;0.0;&quot;😄 &quot;0.0"/>
    <numFmt numFmtId="168" formatCode="General"/>
    <numFmt numFmtId="169" formatCode="\✓;;&quot;&quot;"/>
    <numFmt numFmtId="170" formatCode="[&lt;=3]&quot;😟 &quot;0;[&lt;=7]&quot;😐 &quot;0;&quot;😄 &quot;0"/>
    <numFmt numFmtId="171" formatCode="0\h"/>
    <numFmt numFmtId="172" formatCode="0&quot; kcal&quot;"/>
    <numFmt numFmtId="173" formatCode="0.0"/>
    <numFmt numFmtId="174" formatCode="0.0&quot; hs&quot;"/>
    <numFmt numFmtId="175" formatCode="0&quot; hs&quot;"/>
  </numFmts>
  <fonts count="50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2F4F7"/>
      <name val="Cambria"/>
      <family val="0"/>
      <charset val="1"/>
    </font>
    <font>
      <sz val="10"/>
      <color rgb="FFF2F4F7"/>
      <name val="Aptos"/>
      <family val="0"/>
      <charset val="1"/>
    </font>
    <font>
      <sz val="11"/>
      <color rgb="FF6FAE8C"/>
      <name val="Cambria"/>
      <family val="0"/>
      <charset val="1"/>
    </font>
    <font>
      <b val="true"/>
      <sz val="8"/>
      <color rgb="FF6FAE8C"/>
      <name val="Cambria"/>
      <family val="0"/>
      <charset val="1"/>
    </font>
    <font>
      <b val="true"/>
      <sz val="18"/>
      <color rgb="FFF2F4F7"/>
      <name val="Cambria"/>
      <family val="0"/>
      <charset val="1"/>
    </font>
    <font>
      <sz val="16"/>
      <color rgb="FF00FFA6"/>
      <name val="Consolas"/>
      <family val="0"/>
      <charset val="1"/>
    </font>
    <font>
      <b val="true"/>
      <sz val="7"/>
      <color rgb="FF00FFA6"/>
      <name val="Cambria"/>
      <family val="0"/>
      <charset val="1"/>
    </font>
    <font>
      <sz val="7"/>
      <color rgb="FF6FAE8C"/>
      <name val="Cambria"/>
      <family val="0"/>
      <charset val="1"/>
    </font>
    <font>
      <sz val="9"/>
      <color rgb="FFF2F4F7"/>
      <name val="Cambria"/>
      <family val="0"/>
      <charset val="1"/>
    </font>
    <font>
      <b val="true"/>
      <sz val="9"/>
      <color rgb="FF00FFA6"/>
      <name val="Cambria"/>
      <family val="0"/>
      <charset val="1"/>
    </font>
    <font>
      <b val="true"/>
      <sz val="11"/>
      <color rgb="FFF2F4F7"/>
      <name val="Cambria"/>
      <family val="0"/>
      <charset val="1"/>
    </font>
    <font>
      <i val="true"/>
      <sz val="10"/>
      <color rgb="FF6FAE8C"/>
      <name val="Cambria"/>
      <family val="0"/>
      <charset val="1"/>
    </font>
    <font>
      <sz val="8"/>
      <color rgb="FF6FAE8C"/>
      <name val="Cambria"/>
      <family val="0"/>
      <charset val="1"/>
    </font>
    <font>
      <sz val="11"/>
      <color rgb="FF000000"/>
      <name val="Calibri"/>
      <family val="0"/>
      <charset val="1"/>
    </font>
    <font>
      <b val="true"/>
      <sz val="13"/>
      <color rgb="FFF2F4F7"/>
      <name val="Cambria"/>
      <family val="2"/>
    </font>
    <font>
      <sz val="8"/>
      <color rgb="FF6FAE8C"/>
      <name val="Cambria"/>
      <family val="2"/>
    </font>
    <font>
      <sz val="10"/>
      <color rgb="FFF2F4F7"/>
      <name val="Calibri"/>
      <family val="2"/>
    </font>
    <font>
      <sz val="9"/>
      <color rgb="FF6FAE8C"/>
      <name val="Cambria"/>
      <family val="2"/>
    </font>
    <font>
      <b val="true"/>
      <sz val="20"/>
      <color rgb="FFF2F4F7"/>
      <name val="Cambria"/>
      <family val="0"/>
      <charset val="1"/>
    </font>
    <font>
      <sz val="10"/>
      <color rgb="FF6FAE8C"/>
      <name val="Aptos"/>
      <family val="0"/>
      <charset val="1"/>
    </font>
    <font>
      <b val="true"/>
      <sz val="9"/>
      <color rgb="FF6FAE8C"/>
      <name val="Aptos"/>
      <family val="0"/>
      <charset val="1"/>
    </font>
    <font>
      <b val="true"/>
      <sz val="12"/>
      <color rgb="FF00FFA6"/>
      <name val="Cambria"/>
      <family val="0"/>
      <charset val="1"/>
    </font>
    <font>
      <b val="true"/>
      <sz val="16"/>
      <color rgb="FFF2F4F7"/>
      <name val="Aptos"/>
      <family val="0"/>
      <charset val="1"/>
    </font>
    <font>
      <sz val="8"/>
      <color rgb="FF6FAE8C"/>
      <name val="Aptos"/>
      <family val="0"/>
      <charset val="1"/>
    </font>
    <font>
      <b val="true"/>
      <sz val="8"/>
      <color rgb="FF00FFA6"/>
      <name val="Aptos"/>
      <family val="0"/>
      <charset val="1"/>
    </font>
    <font>
      <sz val="8"/>
      <color rgb="FFF2F4F7"/>
      <name val="Aptos"/>
      <family val="0"/>
      <charset val="1"/>
    </font>
    <font>
      <b val="true"/>
      <sz val="10"/>
      <name val="Cambria"/>
      <family val="0"/>
      <charset val="1"/>
    </font>
    <font>
      <b val="true"/>
      <sz val="8"/>
      <color rgb="FF6FAE8C"/>
      <name val="Aptos"/>
      <family val="0"/>
      <charset val="1"/>
    </font>
    <font>
      <sz val="10"/>
      <color rgb="FF6FAE8C"/>
      <name val="Cambria"/>
      <family val="0"/>
      <charset val="1"/>
    </font>
    <font>
      <b val="true"/>
      <sz val="19"/>
      <color rgb="FFF2F4F7"/>
      <name val="Cambria"/>
      <family val="0"/>
      <charset val="1"/>
    </font>
    <font>
      <b val="true"/>
      <sz val="10"/>
      <color rgb="FF00FFA6"/>
      <name val="Cambria"/>
      <family val="0"/>
      <charset val="1"/>
    </font>
    <font>
      <b val="true"/>
      <sz val="10"/>
      <color rgb="FF00FFA6"/>
      <name val="Aptos"/>
      <family val="0"/>
      <charset val="1"/>
    </font>
    <font>
      <i val="true"/>
      <sz val="8.5"/>
      <color rgb="FF6FAE8C"/>
      <name val="Cambria"/>
      <family val="0"/>
      <charset val="1"/>
    </font>
    <font>
      <b val="true"/>
      <sz val="17"/>
      <color rgb="FFF2F4F7"/>
      <name val="Aptos"/>
      <family val="0"/>
      <charset val="1"/>
    </font>
    <font>
      <b val="true"/>
      <sz val="13"/>
      <color rgb="FFF2F4F7"/>
      <name val="Aptos"/>
      <family val="2"/>
    </font>
    <font>
      <b val="true"/>
      <sz val="9"/>
      <color rgb="FFF2F4F7"/>
      <name val="Aptos"/>
      <family val="2"/>
    </font>
    <font>
      <sz val="9"/>
      <color rgb="FFF2F4F7"/>
      <name val="Aptos"/>
      <family val="2"/>
    </font>
    <font>
      <sz val="9"/>
      <color rgb="FF6FAE8C"/>
      <name val="Aptos"/>
      <family val="2"/>
    </font>
    <font>
      <sz val="8"/>
      <color rgb="FF6FAE8C"/>
      <name val="Aptos"/>
      <family val="2"/>
    </font>
    <font>
      <sz val="10"/>
      <color rgb="FF000000"/>
      <name val="Calibri"/>
      <family val="2"/>
    </font>
    <font>
      <b val="true"/>
      <sz val="10"/>
      <color rgb="FFF2F4F7"/>
      <name val="Cambria"/>
      <family val="0"/>
      <charset val="1"/>
    </font>
    <font>
      <sz val="10"/>
      <color rgb="FFF2F4F7"/>
      <name val="Cambria"/>
      <family val="0"/>
      <charset val="1"/>
    </font>
    <font>
      <b val="true"/>
      <sz val="11"/>
      <color rgb="FF00FFA6"/>
      <name val="Cambria"/>
      <family val="0"/>
      <charset val="1"/>
    </font>
    <font>
      <b val="true"/>
      <sz val="24"/>
      <color rgb="FFF2F4F7"/>
      <name val="Georgia"/>
      <family val="0"/>
      <charset val="1"/>
    </font>
    <font>
      <b val="true"/>
      <sz val="16"/>
      <color rgb="FF00FFA6"/>
      <name val="Cambria"/>
      <family val="0"/>
      <charset val="1"/>
    </font>
    <font>
      <i val="true"/>
      <sz val="10"/>
      <color rgb="FFF2F4F7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90B10"/>
        <bgColor rgb="FF11151D"/>
      </patternFill>
    </fill>
    <fill>
      <patternFill patternType="solid">
        <fgColor rgb="FF0F1912"/>
        <bgColor rgb="FF11151D"/>
      </patternFill>
    </fill>
    <fill>
      <patternFill patternType="solid">
        <fgColor rgb="FF14201A"/>
        <bgColor rgb="FF1B2029"/>
      </patternFill>
    </fill>
    <fill>
      <patternFill patternType="solid">
        <fgColor rgb="FF24304A"/>
        <bgColor rgb="FF292F3A"/>
      </patternFill>
    </fill>
    <fill>
      <patternFill patternType="solid">
        <fgColor rgb="FF2A274A"/>
        <bgColor rgb="FF24304A"/>
      </patternFill>
    </fill>
    <fill>
      <patternFill patternType="solid">
        <fgColor rgb="FF233D42"/>
        <bgColor rgb="FF2B3630"/>
      </patternFill>
    </fill>
    <fill>
      <patternFill patternType="solid">
        <fgColor rgb="FF432D3E"/>
        <bgColor rgb="FF34302A"/>
      </patternFill>
    </fill>
    <fill>
      <patternFill patternType="solid">
        <fgColor rgb="FF34302A"/>
        <bgColor rgb="FF2B363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292F3A"/>
      </left>
      <right style="thin">
        <color rgb="FF292F3A"/>
      </right>
      <top style="thin">
        <color rgb="FF292F3A"/>
      </top>
      <bottom style="thin">
        <color rgb="FF292F3A"/>
      </bottom>
      <diagonal/>
    </border>
    <border diagonalUp="false" diagonalDown="false">
      <left/>
      <right/>
      <top/>
      <bottom style="thin">
        <color rgb="FF292F3A"/>
      </bottom>
      <diagonal/>
    </border>
    <border diagonalUp="false" diagonalDown="false">
      <left style="thin">
        <color rgb="FF2B3630"/>
      </left>
      <right style="thin">
        <color rgb="FF2B3630"/>
      </right>
      <top style="thin">
        <color rgb="FF2B3630"/>
      </top>
      <bottom style="thin">
        <color rgb="FF2B3630"/>
      </bottom>
      <diagonal/>
    </border>
    <border diagonalUp="false" diagonalDown="false">
      <left style="thin">
        <color rgb="FF1B2029"/>
      </left>
      <right style="thin">
        <color rgb="FF1B2029"/>
      </right>
      <top style="thin">
        <color rgb="FF1B2029"/>
      </top>
      <bottom style="thin">
        <color rgb="FF1B202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86E3A5"/>
      </font>
      <fill>
        <patternFill>
          <bgColor rgb="FF193126"/>
        </patternFill>
      </fill>
    </dxf>
    <dxf>
      <font>
        <b val="1"/>
        <color rgb="FFFF8B9E"/>
      </font>
      <fill>
        <patternFill>
          <bgColor rgb="FF241820"/>
        </patternFill>
      </fill>
    </dxf>
    <dxf>
      <font>
        <b val="1"/>
        <color rgb="FF86E3A5"/>
      </font>
      <fill>
        <patternFill>
          <bgColor rgb="FF16301F"/>
        </patternFill>
      </fill>
    </dxf>
    <dxf>
      <font>
        <color rgb="FF2B3630"/>
      </font>
      <fill>
        <patternFill>
          <bgColor rgb="FF11151D"/>
        </patternFill>
      </fill>
    </dxf>
  </dxfs>
  <colors>
    <indexedColors>
      <rgbColor rgb="FF000000"/>
      <rgbColor rgb="FFF2F4F7"/>
      <rgbColor rgb="FFC0504D"/>
      <rgbColor rgb="FFB66E33"/>
      <rgbColor rgb="FF14201A"/>
      <rgbColor rgb="FFF7A46E"/>
      <rgbColor rgb="FFC77372"/>
      <rgbColor rgb="FF00FFA6"/>
      <rgbColor rgb="FF241820"/>
      <rgbColor rgb="FF193126"/>
      <rgbColor rgb="FF11151D"/>
      <rgbColor rgb="FF728A41"/>
      <rgbColor rgb="FF5E4977"/>
      <rgbColor rgb="FF3B779A"/>
      <rgbColor rgb="FFB7B7B7"/>
      <rgbColor rgb="FF937FAE"/>
      <rgbColor rgb="FFA1B3D3"/>
      <rgbColor rgb="FF8E3B38"/>
      <rgbColor rgb="FFB3B3B3"/>
      <rgbColor rgb="FFC0D2A3"/>
      <rgbColor rgb="FF432D3E"/>
      <rgbColor rgb="FFFF8B9E"/>
      <rgbColor rgb="FF233D42"/>
      <rgbColor rgb="FFC2CCE1"/>
      <rgbColor rgb="FF090B10"/>
      <rgbColor rgb="FF6D558A"/>
      <rgbColor rgb="FF84A04C"/>
      <rgbColor rgb="FF2B3630"/>
      <rgbColor rgb="FF292F3A"/>
      <rgbColor rgb="FF1B2029"/>
      <rgbColor rgb="FF4F81BD"/>
      <rgbColor rgb="FF0F1912"/>
      <rgbColor rgb="FF6FAE8C"/>
      <rgbColor rgb="FF85E3A5"/>
      <rgbColor rgb="FFD9D9D9"/>
      <rgbColor rgb="FFA8C378"/>
      <rgbColor rgb="FF9FC9D9"/>
      <rgbColor rgb="FFD5A1A0"/>
      <rgbColor rgb="FFB3A7C4"/>
      <rgbColor rgb="FFF9BD9E"/>
      <rgbColor rgb="FF4B7BB4"/>
      <rgbColor rgb="FF71B6CC"/>
      <rgbColor rgb="FF94B255"/>
      <rgbColor rgb="FFF4D35E"/>
      <rgbColor rgb="FFEB8F42"/>
      <rgbColor rgb="FFD3803B"/>
      <rgbColor rgb="FF7A5F9A"/>
      <rgbColor rgb="FF7394C4"/>
      <rgbColor rgb="FF24304A"/>
      <rgbColor rgb="FF439CA4"/>
      <rgbColor rgb="FF16301F"/>
      <rgbColor rgb="FF232C27"/>
      <rgbColor rgb="FFB74C49"/>
      <rgbColor rgb="FFA44441"/>
      <rgbColor rgb="FF2A274A"/>
      <rgbColor rgb="FF343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2f4f7"/>
                </a:solidFill>
                <a:latin typeface="Cambria"/>
              </a:defRPr>
            </a:pPr>
            <a:r>
              <a:rPr b="1" sz="1300" spc="-1" strike="noStrike">
                <a:solidFill>
                  <a:srgbClr val="f2f4f7"/>
                </a:solidFill>
                <a:latin typeface="Cambria"/>
              </a:rPr>
              <a:t>EVOLUCIÓN MENSUAL DE HÁBITOS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"% cumplido"</c:f>
              <c:strCache>
                <c:ptCount val="1"/>
                <c:pt idx="0">
                  <c:v>% cumplido</c:v>
                </c:pt>
              </c:strCache>
            </c:strRef>
          </c:tx>
          <c:spPr>
            <a:solidFill>
              <a:srgbClr val="00ffa6"/>
            </a:solidFill>
            <a:ln w="19080">
              <a:solidFill>
                <a:srgbClr val="00ffa6"/>
              </a:solidFill>
              <a:round/>
            </a:ln>
          </c:spPr>
          <c:marker>
            <c:symbol val="circle"/>
            <c:size val="4"/>
            <c:spPr>
              <a:solidFill>
                <a:srgbClr val="00ffa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TRACKER!$C$9:$AG$9</c:f>
              <c:multiLvlStrCache>
                <c:ptCount val="1"/>
                <c:lvl/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TRACKER!$C$36:$AG$36</c:f>
              <c:numCache>
                <c:formatCode>General</c:formatCode>
                <c:ptCount val="31"/>
                <c:pt idx="0">
                  <c:v>0.1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"Objetivo"</c:f>
              <c:strCache>
                <c:ptCount val="1"/>
                <c:pt idx="0">
                  <c:v>Objetivo</c:v>
                </c:pt>
              </c:strCache>
            </c:strRef>
          </c:tx>
          <c:spPr>
            <a:solidFill>
              <a:srgbClr val="ffffff"/>
            </a:solidFill>
            <a:ln w="1908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TRACKER!$C$9:$AG$9</c:f>
              <c:multiLvlStrCache>
                <c:ptCount val="1"/>
                <c:lvl/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TRACKER!$C$37:$AG$37</c:f>
              <c:numCache>
                <c:formatCode>General</c:formatCode>
                <c:ptCount val="3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9412233"/>
        <c:axId val="81323428"/>
      </c:lineChart>
      <c:catAx>
        <c:axId val="994122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f2f4f7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f2f4f7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fae8c"/>
                </a:solidFill>
                <a:latin typeface="Cambria"/>
              </a:defRPr>
            </a:pPr>
          </a:p>
        </c:txPr>
        <c:crossAx val="81323428"/>
        <c:crosses val="autoZero"/>
        <c:auto val="1"/>
        <c:lblAlgn val="ctr"/>
        <c:lblOffset val="100"/>
        <c:noMultiLvlLbl val="0"/>
      </c:catAx>
      <c:valAx>
        <c:axId val="8132342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f2f4f7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f2f4f7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6fae8c"/>
                </a:solidFill>
                <a:latin typeface="Cambria"/>
              </a:defRPr>
            </a:pPr>
          </a:p>
        </c:txPr>
        <c:crossAx val="994122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fae8c"/>
              </a:solidFill>
              <a:latin typeface="Cambria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SEMANA!$A$60:$B$60</c:f>
              <c:numCache>
                <c:formatCode>General</c:formatCode>
                <c:ptCount val="2"/>
                <c:pt idx="0">
                  <c:v>0.1</c:v>
                </c:pt>
                <c:pt idx="1">
                  <c:v>0.9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SEMANA!$A$61:$B$61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SEMANA!$A$62:$B$62</c:f>
              <c:numCache>
                <c:formatCode>General</c:formatCode>
                <c:ptCount val="2"/>
                <c:pt idx="0">
                  <c:v>0.1</c:v>
                </c:pt>
                <c:pt idx="1">
                  <c:v>0.9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SEMANA!$A$63:$B$63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SEMANA!$A$64:$B$64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SEMANA!$A$65:$B$65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SEMANA!$A$66:$B$66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2f4f7"/>
                </a:solidFill>
                <a:latin typeface="Aptos"/>
              </a:defRPr>
            </a:pPr>
            <a:r>
              <a:rPr b="1" sz="1300" spc="-1" strike="noStrike">
                <a:solidFill>
                  <a:srgbClr val="f2f4f7"/>
                </a:solidFill>
                <a:latin typeface="Aptos"/>
              </a:rPr>
              <a:t>CUMPLIMIENTO POR HÁBITO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"%"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00ffa6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2f4f7"/>
                    </a:solidFill>
                    <a:latin typeface="Apto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DASHBOARD!$B$12:$B$21</c:f>
              <c:strCache>
                <c:ptCount val="10"/>
                <c:pt idx="0">
                  <c:v>Estudiar</c:v>
                </c:pt>
                <c:pt idx="1">
                  <c:v>Entrenar</c:v>
                </c:pt>
                <c:pt idx="2">
                  <c:v>Modulo Inglés</c:v>
                </c:pt>
                <c:pt idx="3">
                  <c:v>-Flashcards</c:v>
                </c:pt>
                <c:pt idx="4">
                  <c:v>-Input / idioma</c:v>
                </c:pt>
                <c:pt idx="5">
                  <c:v>-Lectura english</c:v>
                </c:pt>
                <c:pt idx="6">
                  <c:v>-Grammar</c:v>
                </c:pt>
                <c:pt idx="7">
                  <c:v>-Input Gamer</c:v>
                </c:pt>
                <c:pt idx="8">
                  <c:v>Leer 1h</c:v>
                </c:pt>
                <c:pt idx="9">
                  <c:v>Mindfulness</c:v>
                </c:pt>
              </c:strCache>
            </c:strRef>
          </c:cat>
          <c:val>
            <c:numRef>
              <c:f>DASHBOARD!$C$12:$C$21</c:f>
              <c:numCache>
                <c:formatCode>0%</c:formatCode>
                <c:ptCount val="10"/>
                <c:pt idx="0">
                  <c:v>0.0666666666666667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93193371"/>
        <c:axId val="56984999"/>
      </c:barChart>
      <c:catAx>
        <c:axId val="93193371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f2f4f7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f2f4f7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f2f4f7"/>
                </a:solidFill>
                <a:latin typeface="Aptos"/>
              </a:defRPr>
            </a:pPr>
          </a:p>
        </c:txPr>
        <c:crossAx val="56984999"/>
        <c:crosses val="autoZero"/>
        <c:auto val="1"/>
        <c:lblAlgn val="ctr"/>
        <c:lblOffset val="100"/>
        <c:noMultiLvlLbl val="0"/>
      </c:catAx>
      <c:valAx>
        <c:axId val="5698499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f2f4f7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f2f4f7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6fae8c"/>
                </a:solidFill>
                <a:latin typeface="Aptos"/>
              </a:defRPr>
            </a:pPr>
          </a:p>
        </c:txPr>
        <c:crossAx val="93193371"/>
        <c:crosses val="max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2f4f7"/>
                </a:solidFill>
                <a:latin typeface="Aptos"/>
              </a:defRPr>
            </a:pPr>
            <a:r>
              <a:rPr b="1" sz="1300" spc="-1" strike="noStrike">
                <a:solidFill>
                  <a:srgbClr val="f2f4f7"/>
                </a:solidFill>
                <a:latin typeface="Aptos"/>
              </a:rPr>
              <a:t>EVOLUCIÓN DIARIA DEL CUMPLIMIENTO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"%"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00ffa6"/>
            </a:solidFill>
            <a:ln w="19080">
              <a:solidFill>
                <a:srgbClr val="00f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DASHBOARD!$G$12:$G$42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DASHBOARD!$I$12:$I$42</c:f>
              <c:numCache>
                <c:formatCode>0%</c:formatCode>
                <c:ptCount val="31"/>
                <c:pt idx="0">
                  <c:v>0.1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"OBJETIVO"</c:f>
              <c:strCache>
                <c:ptCount val="1"/>
                <c:pt idx="0">
                  <c:v>OBJETIVO</c:v>
                </c:pt>
              </c:strCache>
            </c:strRef>
          </c:tx>
          <c:spPr>
            <a:solidFill>
              <a:srgbClr val="ffffff"/>
            </a:solidFill>
            <a:ln w="1908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DASHBOARD!$G$12:$G$42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DASHBOARD!$U$12:$U$42</c:f>
              <c:numCache>
                <c:formatCode>General</c:formatCode>
                <c:ptCount val="3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825811"/>
        <c:axId val="67559407"/>
      </c:lineChart>
      <c:catAx>
        <c:axId val="828258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f2f4f7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f2f4f7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fae8c"/>
                </a:solidFill>
                <a:latin typeface="Aptos"/>
              </a:defRPr>
            </a:pPr>
          </a:p>
        </c:txPr>
        <c:crossAx val="67559407"/>
        <c:crosses val="autoZero"/>
        <c:auto val="1"/>
        <c:lblAlgn val="ctr"/>
        <c:lblOffset val="100"/>
        <c:noMultiLvlLbl val="0"/>
      </c:catAx>
      <c:valAx>
        <c:axId val="6755940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f2f4f7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f2f4f7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6fae8c"/>
                </a:solidFill>
                <a:latin typeface="Aptos"/>
              </a:defRPr>
            </a:pPr>
          </a:p>
        </c:txPr>
        <c:crossAx val="828258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fae8c"/>
              </a:solidFill>
              <a:latin typeface="Aptos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2f4f7"/>
                </a:solidFill>
                <a:latin typeface="Aptos"/>
              </a:defRPr>
            </a:pPr>
            <a:r>
              <a:rPr b="1" sz="1300" spc="-1" strike="noStrike">
                <a:solidFill>
                  <a:srgbClr val="f2f4f7"/>
                </a:solidFill>
                <a:latin typeface="Aptos"/>
              </a:rPr>
              <a:t>TENDENCIA DE FEELING DIARIO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"FEELING"</c:f>
              <c:strCache>
                <c:ptCount val="1"/>
                <c:pt idx="0">
                  <c:v>FEELING</c:v>
                </c:pt>
              </c:strCache>
            </c:strRef>
          </c:tx>
          <c:spPr>
            <a:solidFill>
              <a:srgbClr val="f4d35e"/>
            </a:solidFill>
            <a:ln w="19080">
              <a:solidFill>
                <a:srgbClr val="f4d35e"/>
              </a:solidFill>
              <a:round/>
            </a:ln>
          </c:spPr>
          <c:marker>
            <c:symbol val="circle"/>
            <c:size val="5"/>
            <c:spPr>
              <a:solidFill>
                <a:srgbClr val="f4d35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DASHBOARD!$G$12:$G$42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DASHBOARD!$K$12:$K$42</c:f>
              <c:numCache>
                <c:formatCode>[&lt;=3]"😟 "0;[&lt;=7]"😐 "0;"😄 "0</c:formatCode>
                <c:ptCount val="31"/>
                <c:pt idx="0">
                  <c:v>7</c:v>
                </c:pt>
                <c:pt idx="1">
                  <c:v>4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5062809"/>
        <c:axId val="90247385"/>
      </c:lineChart>
      <c:catAx>
        <c:axId val="550628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f2f4f7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f2f4f7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fae8c"/>
                </a:solidFill>
                <a:latin typeface="Aptos"/>
              </a:defRPr>
            </a:pPr>
          </a:p>
        </c:txPr>
        <c:crossAx val="90247385"/>
        <c:crosses val="autoZero"/>
        <c:auto val="1"/>
        <c:lblAlgn val="ctr"/>
        <c:lblOffset val="100"/>
        <c:noMultiLvlLbl val="0"/>
      </c:catAx>
      <c:valAx>
        <c:axId val="90247385"/>
        <c:scaling>
          <c:orientation val="minMax"/>
          <c:max val="10"/>
        </c:scaling>
        <c:delete val="0"/>
        <c:axPos val="l"/>
        <c:majorGridlines>
          <c:spPr>
            <a:ln w="936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f2f4f7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f2f4f7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6fae8c"/>
                </a:solidFill>
                <a:latin typeface="Aptos"/>
              </a:defRPr>
            </a:pPr>
          </a:p>
        </c:txPr>
        <c:crossAx val="55062809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2f4f7"/>
                </a:solidFill>
                <a:latin typeface="Aptos"/>
              </a:defRPr>
            </a:pPr>
            <a:r>
              <a:rPr b="1" sz="1300" spc="-1" strike="noStrike">
                <a:solidFill>
                  <a:srgbClr val="f2f4f7"/>
                </a:solidFill>
                <a:latin typeface="Aptos"/>
              </a:rPr>
              <a:t>CUMPLIMIENTO GENERAL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DASHBOARD!$W$61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8b9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6fae8c"/>
              </a:solidFill>
              <a:ln w="0">
                <a:noFill/>
              </a:ln>
            </c:spPr>
          </c:dPt>
          <c:dLbls>
            <c:numFmt formatCode="0" sourceLinked="1"/>
            <c:dLbl>
              <c:idx val="0"/>
              <c:numFmt formatCode="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2f4f7"/>
                      </a:solidFill>
                      <a:latin typeface="Apto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2f4f7"/>
                      </a:solidFill>
                      <a:latin typeface="Apto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2f4f7"/>
                      </a:solidFill>
                      <a:latin typeface="Apto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DASHBOARD!$V$62:$V$64</c:f>
              <c:strCache>
                <c:ptCount val="3"/>
                <c:pt idx="0">
                  <c:v>Cumplido</c:v>
                </c:pt>
                <c:pt idx="1">
                  <c:v>No cumplido</c:v>
                </c:pt>
                <c:pt idx="2">
                  <c:v>Sin registrar</c:v>
                </c:pt>
              </c:strCache>
            </c:strRef>
          </c:cat>
          <c:val>
            <c:numRef>
              <c:f>DASHBOARD!$W$62:$W$64</c:f>
              <c:numCache>
                <c:formatCode>0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fae8c"/>
              </a:solidFill>
              <a:latin typeface="Aptos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2f4f7"/>
                </a:solidFill>
                <a:latin typeface="Aptos"/>
              </a:defRPr>
            </a:pPr>
            <a:r>
              <a:rPr b="1" sz="1300" spc="-1" strike="noStrike">
                <a:solidFill>
                  <a:srgbClr val="f2f4f7"/>
                </a:solidFill>
                <a:latin typeface="Aptos"/>
              </a:rPr>
              <a:t>PROGRESO DIARIO DEL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"SCORE"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00ffa6"/>
            </a:solidFill>
            <a:ln w="19080">
              <a:solidFill>
                <a:srgbClr val="00ffa6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DASHBOARD!$G$12:$G$42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DASHBOARD!$H$12:$H$42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4545568"/>
        <c:axId val="66648931"/>
      </c:areaChart>
      <c:catAx>
        <c:axId val="454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48931"/>
        <c:crosses val="autoZero"/>
        <c:auto val="1"/>
        <c:lblAlgn val="ctr"/>
        <c:lblOffset val="100"/>
        <c:noMultiLvlLbl val="0"/>
      </c:catAx>
      <c:valAx>
        <c:axId val="666489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5568"/>
        <c:crosses val="autoZero"/>
        <c:crossBetween val="midCat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32c2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DASHBOARD!$X$130:$X$131</c:f>
              <c:numCache>
                <c:formatCode>General</c:formatCode>
                <c:ptCount val="2"/>
                <c:pt idx="0">
                  <c:v>0.1</c:v>
                </c:pt>
                <c:pt idx="1">
                  <c:v>0.9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32c2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DASHBOARD!$Z$130:$Z$131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32c2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DASHBOARD!$AB$130:$AB$131</c:f>
              <c:numCache>
                <c:formatCode>General</c:formatCode>
                <c:ptCount val="2"/>
                <c:pt idx="0">
                  <c:v>0.1</c:v>
                </c:pt>
                <c:pt idx="1">
                  <c:v>0.9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32c2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DASHBOARD!$AD$130:$AD$131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32c2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DASHBOARD!$AF$130:$AF$131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32c2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DASHBOARD!$AH$130:$AH$131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ff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32c2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f2f4f7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val>
            <c:numRef>
              <c:f>DASHBOARD!$AJ$130:$AJ$131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6ee3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TRACKER!$C$25</c:f>
              <c:numCache>
                <c:formatCode>General</c:formatCode>
                <c:ptCount val="1"/>
              </c:numCache>
            </c:numRef>
          </c:val>
        </c:ser>
        <c:ser>
          <c:idx val="1"/>
          <c:order val="1"/>
          <c:spPr>
            <a:solidFill>
              <a:srgbClr val="8e3b3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TRACKER!$D$25</c:f>
              <c:numCache>
                <c:formatCode>General</c:formatCode>
                <c:ptCount val="1"/>
              </c:numCache>
            </c:numRef>
          </c:val>
        </c:ser>
        <c:ser>
          <c:idx val="2"/>
          <c:order val="2"/>
          <c:spPr>
            <a:solidFill>
              <a:srgbClr val="728a4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TRACKER!$E$25</c:f>
              <c:numCache>
                <c:formatCode>General</c:formatCode>
                <c:ptCount val="1"/>
              </c:numCache>
            </c:numRef>
          </c:val>
        </c:ser>
        <c:ser>
          <c:idx val="3"/>
          <c:order val="3"/>
          <c:spPr>
            <a:solidFill>
              <a:srgbClr val="5e497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TRACKER!$F$25</c:f>
              <c:numCache>
                <c:formatCode>General</c:formatCode>
                <c:ptCount val="1"/>
              </c:numCache>
            </c:numRef>
          </c:val>
        </c:ser>
        <c:ser>
          <c:idx val="4"/>
          <c:order val="4"/>
          <c:spPr>
            <a:solidFill>
              <a:srgbClr val="377f9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TRACKER!$G$25</c:f>
              <c:numCache>
                <c:formatCode>General</c:formatCode>
                <c:ptCount val="1"/>
              </c:numCache>
            </c:numRef>
          </c:val>
        </c:ser>
        <c:ser>
          <c:idx val="5"/>
          <c:order val="5"/>
          <c:spPr>
            <a:solidFill>
              <a:srgbClr val="b66e3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TRACKER!$H$25</c:f>
              <c:numCache>
                <c:formatCode>General</c:formatCode>
                <c:ptCount val="1"/>
              </c:numCache>
            </c:numRef>
          </c:val>
        </c:ser>
        <c:ser>
          <c:idx val="6"/>
          <c:order val="6"/>
          <c:spPr>
            <a:solidFill>
              <a:srgbClr val="436ea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TRACKER!$I$25</c:f>
              <c:numCache>
                <c:formatCode>General</c:formatCode>
                <c:ptCount val="1"/>
              </c:numCache>
            </c:numRef>
          </c:val>
        </c:ser>
        <c:ser>
          <c:idx val="7"/>
          <c:order val="7"/>
          <c:spPr>
            <a:solidFill>
              <a:srgbClr val="a4444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TRACKER!$J$25</c:f>
              <c:numCache>
                <c:formatCode>General</c:formatCode>
                <c:ptCount val="1"/>
              </c:numCache>
            </c:numRef>
          </c:val>
        </c:ser>
        <c:ser>
          <c:idx val="8"/>
          <c:order val="8"/>
          <c:spPr>
            <a:solidFill>
              <a:srgbClr val="84a04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TRACKER!$K$25</c:f>
              <c:numCache>
                <c:formatCode>General</c:formatCode>
                <c:ptCount val="1"/>
              </c:numCache>
            </c:numRef>
          </c:val>
        </c:ser>
        <c:ser>
          <c:idx val="9"/>
          <c:order val="9"/>
          <c:spPr>
            <a:solidFill>
              <a:srgbClr val="6d55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TRACKER!$L$25</c:f>
              <c:numCache>
                <c:formatCode>General</c:formatCode>
                <c:ptCount val="1"/>
              </c:numCache>
            </c:numRef>
          </c:val>
        </c:ser>
        <c:ser>
          <c:idx val="10"/>
          <c:order val="10"/>
          <c:spPr>
            <a:solidFill>
              <a:srgbClr val="4093a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TRACKER!$M$25</c:f>
              <c:numCache>
                <c:formatCode>General</c:formatCode>
                <c:ptCount val="1"/>
              </c:numCache>
            </c:numRef>
          </c:val>
        </c:ser>
        <c:ser>
          <c:idx val="11"/>
          <c:order val="11"/>
          <c:spPr>
            <a:solidFill>
              <a:srgbClr val="d3803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TRACKER!$N$25</c:f>
              <c:numCache>
                <c:formatCode>General</c:formatCode>
                <c:ptCount val="1"/>
              </c:numCache>
            </c:numRef>
          </c:val>
        </c:ser>
        <c:ser>
          <c:idx val="12"/>
          <c:order val="12"/>
          <c:spPr>
            <a:solidFill>
              <a:srgbClr val="4b7b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TRACKER!$O$25</c:f>
              <c:numCache>
                <c:formatCode>General</c:formatCode>
                <c:ptCount val="1"/>
              </c:numCache>
            </c:numRef>
          </c:val>
        </c:ser>
        <c:ser>
          <c:idx val="13"/>
          <c:order val="13"/>
          <c:spPr>
            <a:solidFill>
              <a:srgbClr val="b74c4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TRACKER!$P$25</c:f>
              <c:numCache>
                <c:formatCode>General</c:formatCode>
                <c:ptCount val="1"/>
              </c:numCache>
            </c:numRef>
          </c:val>
        </c:ser>
        <c:ser>
          <c:idx val="14"/>
          <c:order val="14"/>
          <c:spPr>
            <a:solidFill>
              <a:srgbClr val="94b25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TRACKER!$Q$25</c:f>
              <c:numCache>
                <c:formatCode>General</c:formatCode>
                <c:ptCount val="1"/>
              </c:numCache>
            </c:numRef>
          </c:val>
        </c:ser>
        <c:ser>
          <c:idx val="15"/>
          <c:order val="15"/>
          <c:spPr>
            <a:solidFill>
              <a:srgbClr val="7a5f9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TRACKER!$R$25</c:f>
              <c:numCache>
                <c:formatCode>General</c:formatCode>
                <c:ptCount val="1"/>
              </c:numCache>
            </c:numRef>
          </c:val>
        </c:ser>
        <c:ser>
          <c:idx val="16"/>
          <c:order val="16"/>
          <c:spPr>
            <a:solidFill>
              <a:srgbClr val="47a4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TRACKER!$S$25</c:f>
              <c:numCache>
                <c:formatCode>General</c:formatCode>
                <c:ptCount val="1"/>
              </c:numCache>
            </c:numRef>
          </c:val>
        </c:ser>
        <c:ser>
          <c:idx val="17"/>
          <c:order val="17"/>
          <c:spPr>
            <a:solidFill>
              <a:srgbClr val="eb8f4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TRACKER!$T$25</c:f>
              <c:numCache>
                <c:formatCode>General</c:formatCode>
                <c:ptCount val="1"/>
              </c:numCache>
            </c:numRef>
          </c:val>
        </c:ser>
        <c:ser>
          <c:idx val="18"/>
          <c:order val="18"/>
          <c:spPr>
            <a:solidFill>
              <a:srgbClr val="7394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TRACKER!$U$25</c:f>
              <c:numCache>
                <c:formatCode>General</c:formatCode>
                <c:ptCount val="1"/>
              </c:numCache>
            </c:numRef>
          </c:val>
        </c:ser>
        <c:ser>
          <c:idx val="19"/>
          <c:order val="19"/>
          <c:spPr>
            <a:solidFill>
              <a:srgbClr val="c773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TRACKER!$V$25</c:f>
              <c:numCache>
                <c:formatCode>General</c:formatCode>
                <c:ptCount val="1"/>
              </c:numCache>
            </c:numRef>
          </c:val>
        </c:ser>
        <c:ser>
          <c:idx val="20"/>
          <c:order val="20"/>
          <c:spPr>
            <a:solidFill>
              <a:srgbClr val="a8c3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TRACKER!$W$25</c:f>
              <c:numCache>
                <c:formatCode>General</c:formatCode>
                <c:ptCount val="1"/>
              </c:numCache>
            </c:numRef>
          </c:val>
        </c:ser>
        <c:ser>
          <c:idx val="21"/>
          <c:order val="21"/>
          <c:spPr>
            <a:solidFill>
              <a:srgbClr val="937fa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TRACKER!$X$25</c:f>
              <c:numCache>
                <c:formatCode>General</c:formatCode>
                <c:ptCount val="1"/>
              </c:numCache>
            </c:numRef>
          </c:val>
        </c:ser>
        <c:ser>
          <c:idx val="22"/>
          <c:order val="22"/>
          <c:spPr>
            <a:solidFill>
              <a:srgbClr val="71b6c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TRACKER!$Y$25</c:f>
              <c:numCache>
                <c:formatCode>General</c:formatCode>
                <c:ptCount val="1"/>
              </c:numCache>
            </c:numRef>
          </c:val>
        </c:ser>
        <c:ser>
          <c:idx val="23"/>
          <c:order val="23"/>
          <c:spPr>
            <a:solidFill>
              <a:srgbClr val="f7a46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TRACKER!$Z$25</c:f>
              <c:numCache>
                <c:formatCode>General</c:formatCode>
                <c:ptCount val="1"/>
              </c:numCache>
            </c:numRef>
          </c:val>
        </c:ser>
        <c:ser>
          <c:idx val="24"/>
          <c:order val="24"/>
          <c:spPr>
            <a:solidFill>
              <a:srgbClr val="a1b3d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TRACKER!$AA$25</c:f>
              <c:numCache>
                <c:formatCode>General</c:formatCode>
                <c:ptCount val="1"/>
              </c:numCache>
            </c:numRef>
          </c:val>
        </c:ser>
        <c:ser>
          <c:idx val="25"/>
          <c:order val="25"/>
          <c:spPr>
            <a:solidFill>
              <a:srgbClr val="d5a1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TRACKER!$AB$25</c:f>
              <c:numCache>
                <c:formatCode>General</c:formatCode>
                <c:ptCount val="1"/>
              </c:numCache>
            </c:numRef>
          </c:val>
        </c:ser>
        <c:ser>
          <c:idx val="26"/>
          <c:order val="26"/>
          <c:spPr>
            <a:solidFill>
              <a:srgbClr val="c0d2a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TRACKER!$AC$25</c:f>
              <c:numCache>
                <c:formatCode>General</c:formatCode>
                <c:ptCount val="1"/>
              </c:numCache>
            </c:numRef>
          </c:val>
        </c:ser>
        <c:ser>
          <c:idx val="27"/>
          <c:order val="27"/>
          <c:spPr>
            <a:solidFill>
              <a:srgbClr val="b3a7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TRACKER!$AD$25</c:f>
              <c:numCache>
                <c:formatCode>General</c:formatCode>
                <c:ptCount val="1"/>
              </c:numCache>
            </c:numRef>
          </c:val>
        </c:ser>
        <c:ser>
          <c:idx val="28"/>
          <c:order val="28"/>
          <c:spPr>
            <a:solidFill>
              <a:srgbClr val="9fc9d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TRACKER!$AE$25</c:f>
              <c:numCache>
                <c:formatCode>General</c:formatCode>
                <c:ptCount val="1"/>
              </c:numCache>
            </c:numRef>
          </c:val>
        </c:ser>
        <c:ser>
          <c:idx val="29"/>
          <c:order val="29"/>
          <c:spPr>
            <a:solidFill>
              <a:srgbClr val="f9bd9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TRACKER!$AF$25</c:f>
              <c:numCache>
                <c:formatCode>General</c:formatCode>
                <c:ptCount val="1"/>
              </c:numCache>
            </c:numRef>
          </c:val>
        </c:ser>
        <c:ser>
          <c:idx val="30"/>
          <c:order val="30"/>
          <c:spPr>
            <a:solidFill>
              <a:srgbClr val="c2cce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TRACKER!$AG$25</c:f>
              <c:numCache>
                <c:formatCode>General</c:formatCode>
                <c:ptCount val="1"/>
              </c:numCache>
            </c:numRef>
          </c:val>
        </c:ser>
        <c:gapWidth val="150"/>
        <c:overlap val="0"/>
        <c:axId val="76406566"/>
        <c:axId val="80262838"/>
      </c:barChart>
      <c:catAx>
        <c:axId val="764065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62838"/>
        <c:auto val="1"/>
        <c:lblAlgn val="ctr"/>
        <c:lblOffset val="100"/>
        <c:noMultiLvlLbl val="0"/>
      </c:catAx>
      <c:valAx>
        <c:axId val="802628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065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3f9e6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TRACKER!$C$26</c:f>
              <c:numCache>
                <c:formatCode>General</c:formatCode>
                <c:ptCount val="1"/>
              </c:numCache>
            </c:numRef>
          </c:val>
        </c:ser>
        <c:ser>
          <c:idx val="1"/>
          <c:order val="1"/>
          <c:spPr>
            <a:solidFill>
              <a:srgbClr val="8e3b3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TRACKER!$D$26</c:f>
              <c:numCache>
                <c:formatCode>General</c:formatCode>
                <c:ptCount val="1"/>
              </c:numCache>
            </c:numRef>
          </c:val>
        </c:ser>
        <c:ser>
          <c:idx val="2"/>
          <c:order val="2"/>
          <c:spPr>
            <a:solidFill>
              <a:srgbClr val="728a4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TRACKER!$E$26</c:f>
              <c:numCache>
                <c:formatCode>General</c:formatCode>
                <c:ptCount val="1"/>
              </c:numCache>
            </c:numRef>
          </c:val>
        </c:ser>
        <c:ser>
          <c:idx val="3"/>
          <c:order val="3"/>
          <c:spPr>
            <a:solidFill>
              <a:srgbClr val="5e497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TRACKER!$F$26</c:f>
              <c:numCache>
                <c:formatCode>General</c:formatCode>
                <c:ptCount val="1"/>
              </c:numCache>
            </c:numRef>
          </c:val>
        </c:ser>
        <c:ser>
          <c:idx val="4"/>
          <c:order val="4"/>
          <c:spPr>
            <a:solidFill>
              <a:srgbClr val="377f9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TRACKER!$G$26</c:f>
              <c:numCache>
                <c:formatCode>General</c:formatCode>
                <c:ptCount val="1"/>
              </c:numCache>
            </c:numRef>
          </c:val>
        </c:ser>
        <c:ser>
          <c:idx val="5"/>
          <c:order val="5"/>
          <c:spPr>
            <a:solidFill>
              <a:srgbClr val="b66e3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TRACKER!$H$26</c:f>
              <c:numCache>
                <c:formatCode>General</c:formatCode>
                <c:ptCount val="1"/>
              </c:numCache>
            </c:numRef>
          </c:val>
        </c:ser>
        <c:ser>
          <c:idx val="6"/>
          <c:order val="6"/>
          <c:spPr>
            <a:solidFill>
              <a:srgbClr val="436ea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TRACKER!$I$26</c:f>
              <c:numCache>
                <c:formatCode>General</c:formatCode>
                <c:ptCount val="1"/>
              </c:numCache>
            </c:numRef>
          </c:val>
        </c:ser>
        <c:ser>
          <c:idx val="7"/>
          <c:order val="7"/>
          <c:spPr>
            <a:solidFill>
              <a:srgbClr val="a4444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TRACKER!$J$26</c:f>
              <c:numCache>
                <c:formatCode>General</c:formatCode>
                <c:ptCount val="1"/>
              </c:numCache>
            </c:numRef>
          </c:val>
        </c:ser>
        <c:ser>
          <c:idx val="8"/>
          <c:order val="8"/>
          <c:spPr>
            <a:solidFill>
              <a:srgbClr val="84a04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TRACKER!$K$26</c:f>
              <c:numCache>
                <c:formatCode>General</c:formatCode>
                <c:ptCount val="1"/>
              </c:numCache>
            </c:numRef>
          </c:val>
        </c:ser>
        <c:ser>
          <c:idx val="9"/>
          <c:order val="9"/>
          <c:spPr>
            <a:solidFill>
              <a:srgbClr val="6d55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TRACKER!$L$26</c:f>
              <c:numCache>
                <c:formatCode>General</c:formatCode>
                <c:ptCount val="1"/>
              </c:numCache>
            </c:numRef>
          </c:val>
        </c:ser>
        <c:ser>
          <c:idx val="10"/>
          <c:order val="10"/>
          <c:spPr>
            <a:solidFill>
              <a:srgbClr val="4093a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TRACKER!$M$26</c:f>
              <c:numCache>
                <c:formatCode>General</c:formatCode>
                <c:ptCount val="1"/>
              </c:numCache>
            </c:numRef>
          </c:val>
        </c:ser>
        <c:ser>
          <c:idx val="11"/>
          <c:order val="11"/>
          <c:spPr>
            <a:solidFill>
              <a:srgbClr val="d3803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TRACKER!$N$26</c:f>
              <c:numCache>
                <c:formatCode>General</c:formatCode>
                <c:ptCount val="1"/>
              </c:numCache>
            </c:numRef>
          </c:val>
        </c:ser>
        <c:ser>
          <c:idx val="12"/>
          <c:order val="12"/>
          <c:spPr>
            <a:solidFill>
              <a:srgbClr val="4b7b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TRACKER!$O$26</c:f>
              <c:numCache>
                <c:formatCode>General</c:formatCode>
                <c:ptCount val="1"/>
              </c:numCache>
            </c:numRef>
          </c:val>
        </c:ser>
        <c:ser>
          <c:idx val="13"/>
          <c:order val="13"/>
          <c:spPr>
            <a:solidFill>
              <a:srgbClr val="b74c4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TRACKER!$P$26</c:f>
              <c:numCache>
                <c:formatCode>General</c:formatCode>
                <c:ptCount val="1"/>
              </c:numCache>
            </c:numRef>
          </c:val>
        </c:ser>
        <c:ser>
          <c:idx val="14"/>
          <c:order val="14"/>
          <c:spPr>
            <a:solidFill>
              <a:srgbClr val="94b25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TRACKER!$Q$26</c:f>
              <c:numCache>
                <c:formatCode>General</c:formatCode>
                <c:ptCount val="1"/>
              </c:numCache>
            </c:numRef>
          </c:val>
        </c:ser>
        <c:ser>
          <c:idx val="15"/>
          <c:order val="15"/>
          <c:spPr>
            <a:solidFill>
              <a:srgbClr val="7a5f9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TRACKER!$R$26</c:f>
              <c:numCache>
                <c:formatCode>General</c:formatCode>
                <c:ptCount val="1"/>
              </c:numCache>
            </c:numRef>
          </c:val>
        </c:ser>
        <c:ser>
          <c:idx val="16"/>
          <c:order val="16"/>
          <c:spPr>
            <a:solidFill>
              <a:srgbClr val="47a4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TRACKER!$S$26</c:f>
              <c:numCache>
                <c:formatCode>General</c:formatCode>
                <c:ptCount val="1"/>
              </c:numCache>
            </c:numRef>
          </c:val>
        </c:ser>
        <c:ser>
          <c:idx val="17"/>
          <c:order val="17"/>
          <c:spPr>
            <a:solidFill>
              <a:srgbClr val="eb8f4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TRACKER!$T$26</c:f>
              <c:numCache>
                <c:formatCode>General</c:formatCode>
                <c:ptCount val="1"/>
              </c:numCache>
            </c:numRef>
          </c:val>
        </c:ser>
        <c:ser>
          <c:idx val="18"/>
          <c:order val="18"/>
          <c:spPr>
            <a:solidFill>
              <a:srgbClr val="7394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TRACKER!$U$26</c:f>
              <c:numCache>
                <c:formatCode>General</c:formatCode>
                <c:ptCount val="1"/>
              </c:numCache>
            </c:numRef>
          </c:val>
        </c:ser>
        <c:ser>
          <c:idx val="19"/>
          <c:order val="19"/>
          <c:spPr>
            <a:solidFill>
              <a:srgbClr val="c773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TRACKER!$V$26</c:f>
              <c:numCache>
                <c:formatCode>General</c:formatCode>
                <c:ptCount val="1"/>
              </c:numCache>
            </c:numRef>
          </c:val>
        </c:ser>
        <c:ser>
          <c:idx val="20"/>
          <c:order val="20"/>
          <c:spPr>
            <a:solidFill>
              <a:srgbClr val="a8c3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TRACKER!$W$26</c:f>
              <c:numCache>
                <c:formatCode>General</c:formatCode>
                <c:ptCount val="1"/>
              </c:numCache>
            </c:numRef>
          </c:val>
        </c:ser>
        <c:ser>
          <c:idx val="21"/>
          <c:order val="21"/>
          <c:spPr>
            <a:solidFill>
              <a:srgbClr val="937fa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TRACKER!$X$26</c:f>
              <c:numCache>
                <c:formatCode>General</c:formatCode>
                <c:ptCount val="1"/>
              </c:numCache>
            </c:numRef>
          </c:val>
        </c:ser>
        <c:ser>
          <c:idx val="22"/>
          <c:order val="22"/>
          <c:spPr>
            <a:solidFill>
              <a:srgbClr val="71b6c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TRACKER!$Y$26</c:f>
              <c:numCache>
                <c:formatCode>General</c:formatCode>
                <c:ptCount val="1"/>
              </c:numCache>
            </c:numRef>
          </c:val>
        </c:ser>
        <c:ser>
          <c:idx val="23"/>
          <c:order val="23"/>
          <c:spPr>
            <a:solidFill>
              <a:srgbClr val="f7a46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TRACKER!$Z$26</c:f>
              <c:numCache>
                <c:formatCode>General</c:formatCode>
                <c:ptCount val="1"/>
              </c:numCache>
            </c:numRef>
          </c:val>
        </c:ser>
        <c:ser>
          <c:idx val="24"/>
          <c:order val="24"/>
          <c:spPr>
            <a:solidFill>
              <a:srgbClr val="a1b3d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TRACKER!$AA$26</c:f>
              <c:numCache>
                <c:formatCode>General</c:formatCode>
                <c:ptCount val="1"/>
              </c:numCache>
            </c:numRef>
          </c:val>
        </c:ser>
        <c:ser>
          <c:idx val="25"/>
          <c:order val="25"/>
          <c:spPr>
            <a:solidFill>
              <a:srgbClr val="d5a1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TRACKER!$AB$26</c:f>
              <c:numCache>
                <c:formatCode>General</c:formatCode>
                <c:ptCount val="1"/>
              </c:numCache>
            </c:numRef>
          </c:val>
        </c:ser>
        <c:ser>
          <c:idx val="26"/>
          <c:order val="26"/>
          <c:spPr>
            <a:solidFill>
              <a:srgbClr val="c0d2a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TRACKER!$AC$26</c:f>
              <c:numCache>
                <c:formatCode>General</c:formatCode>
                <c:ptCount val="1"/>
              </c:numCache>
            </c:numRef>
          </c:val>
        </c:ser>
        <c:ser>
          <c:idx val="27"/>
          <c:order val="27"/>
          <c:spPr>
            <a:solidFill>
              <a:srgbClr val="b3a7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TRACKER!$AD$26</c:f>
              <c:numCache>
                <c:formatCode>General</c:formatCode>
                <c:ptCount val="1"/>
              </c:numCache>
            </c:numRef>
          </c:val>
        </c:ser>
        <c:ser>
          <c:idx val="28"/>
          <c:order val="28"/>
          <c:spPr>
            <a:solidFill>
              <a:srgbClr val="9fc9d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TRACKER!$AE$26</c:f>
              <c:numCache>
                <c:formatCode>General</c:formatCode>
                <c:ptCount val="1"/>
              </c:numCache>
            </c:numRef>
          </c:val>
        </c:ser>
        <c:ser>
          <c:idx val="29"/>
          <c:order val="29"/>
          <c:spPr>
            <a:solidFill>
              <a:srgbClr val="f9bd9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TRACKER!$AF$26</c:f>
              <c:numCache>
                <c:formatCode>General</c:formatCode>
                <c:ptCount val="1"/>
              </c:numCache>
            </c:numRef>
          </c:val>
        </c:ser>
        <c:ser>
          <c:idx val="30"/>
          <c:order val="30"/>
          <c:spPr>
            <a:solidFill>
              <a:srgbClr val="c2cce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TRACKER!$C$9:$AG$9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TRACKER!$AG$26</c:f>
              <c:numCache>
                <c:formatCode>General</c:formatCode>
                <c:ptCount val="1"/>
              </c:numCache>
            </c:numRef>
          </c:val>
        </c:ser>
        <c:gapWidth val="150"/>
        <c:overlap val="0"/>
        <c:axId val="66515461"/>
        <c:axId val="67785171"/>
      </c:barChart>
      <c:catAx>
        <c:axId val="665154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85171"/>
        <c:auto val="1"/>
        <c:lblAlgn val="ctr"/>
        <c:lblOffset val="100"/>
        <c:noMultiLvlLbl val="0"/>
      </c:catAx>
      <c:valAx>
        <c:axId val="677851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154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Relationship Id="rId9" Type="http://schemas.openxmlformats.org/officeDocument/2006/relationships/chart" Target="../charts/chart17.xml"/><Relationship Id="rId10" Type="http://schemas.openxmlformats.org/officeDocument/2006/relationships/chart" Target="../charts/chart18.xml"/><Relationship Id="rId11" Type="http://schemas.openxmlformats.org/officeDocument/2006/relationships/chart" Target="../charts/chart19.xml"/><Relationship Id="rId12" Type="http://schemas.openxmlformats.org/officeDocument/2006/relationships/chart" Target="../charts/chart20.xml"/><Relationship Id="rId13" Type="http://schemas.openxmlformats.org/officeDocument/2006/relationships/chart" Target="../charts/chart21.xml"/><Relationship Id="rId14" Type="http://schemas.openxmlformats.org/officeDocument/2006/relationships/chart" Target="../charts/chart2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38</xdr:row>
      <xdr:rowOff>0</xdr:rowOff>
    </xdr:from>
    <xdr:to>
      <xdr:col>21</xdr:col>
      <xdr:colOff>132840</xdr:colOff>
      <xdr:row>54</xdr:row>
      <xdr:rowOff>159480</xdr:rowOff>
    </xdr:to>
    <xdr:graphicFrame>
      <xdr:nvGraphicFramePr>
        <xdr:cNvPr id="0" name="Chart 1"/>
        <xdr:cNvGraphicFramePr/>
      </xdr:nvGraphicFramePr>
      <xdr:xfrm>
        <a:off x="0" y="7553160"/>
        <a:ext cx="8027280" cy="320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0</xdr:rowOff>
    </xdr:from>
    <xdr:to>
      <xdr:col>1</xdr:col>
      <xdr:colOff>1093320</xdr:colOff>
      <xdr:row>5</xdr:row>
      <xdr:rowOff>1140840</xdr:rowOff>
    </xdr:to>
    <xdr:graphicFrame>
      <xdr:nvGraphicFramePr>
        <xdr:cNvPr id="1" name="Chart 1"/>
        <xdr:cNvGraphicFramePr/>
      </xdr:nvGraphicFramePr>
      <xdr:xfrm>
        <a:off x="187920" y="1209600"/>
        <a:ext cx="109332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1093320</xdr:colOff>
      <xdr:row>5</xdr:row>
      <xdr:rowOff>1140840</xdr:rowOff>
    </xdr:to>
    <xdr:graphicFrame>
      <xdr:nvGraphicFramePr>
        <xdr:cNvPr id="2" name="Chart 2"/>
        <xdr:cNvGraphicFramePr/>
      </xdr:nvGraphicFramePr>
      <xdr:xfrm>
        <a:off x="1870200" y="1209600"/>
        <a:ext cx="109332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1093320</xdr:colOff>
      <xdr:row>5</xdr:row>
      <xdr:rowOff>1140840</xdr:rowOff>
    </xdr:to>
    <xdr:graphicFrame>
      <xdr:nvGraphicFramePr>
        <xdr:cNvPr id="3" name="Chart 3"/>
        <xdr:cNvGraphicFramePr/>
      </xdr:nvGraphicFramePr>
      <xdr:xfrm>
        <a:off x="3552120" y="1209600"/>
        <a:ext cx="109332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1093320</xdr:colOff>
      <xdr:row>5</xdr:row>
      <xdr:rowOff>1140840</xdr:rowOff>
    </xdr:to>
    <xdr:graphicFrame>
      <xdr:nvGraphicFramePr>
        <xdr:cNvPr id="4" name="Chart 4"/>
        <xdr:cNvGraphicFramePr/>
      </xdr:nvGraphicFramePr>
      <xdr:xfrm>
        <a:off x="5234400" y="1209600"/>
        <a:ext cx="109332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1093320</xdr:colOff>
      <xdr:row>5</xdr:row>
      <xdr:rowOff>1140840</xdr:rowOff>
    </xdr:to>
    <xdr:graphicFrame>
      <xdr:nvGraphicFramePr>
        <xdr:cNvPr id="5" name="Chart 5"/>
        <xdr:cNvGraphicFramePr/>
      </xdr:nvGraphicFramePr>
      <xdr:xfrm>
        <a:off x="6916320" y="1209600"/>
        <a:ext cx="109332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1093320</xdr:colOff>
      <xdr:row>5</xdr:row>
      <xdr:rowOff>1140840</xdr:rowOff>
    </xdr:to>
    <xdr:graphicFrame>
      <xdr:nvGraphicFramePr>
        <xdr:cNvPr id="6" name="Chart 6"/>
        <xdr:cNvGraphicFramePr/>
      </xdr:nvGraphicFramePr>
      <xdr:xfrm>
        <a:off x="8598600" y="1209600"/>
        <a:ext cx="109332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1093320</xdr:colOff>
      <xdr:row>5</xdr:row>
      <xdr:rowOff>1140840</xdr:rowOff>
    </xdr:to>
    <xdr:graphicFrame>
      <xdr:nvGraphicFramePr>
        <xdr:cNvPr id="7" name="Chart 7"/>
        <xdr:cNvGraphicFramePr/>
      </xdr:nvGraphicFramePr>
      <xdr:xfrm>
        <a:off x="10280520" y="1209600"/>
        <a:ext cx="109332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45</xdr:row>
      <xdr:rowOff>0</xdr:rowOff>
    </xdr:from>
    <xdr:to>
      <xdr:col>4</xdr:col>
      <xdr:colOff>125280</xdr:colOff>
      <xdr:row>62</xdr:row>
      <xdr:rowOff>150120</xdr:rowOff>
    </xdr:to>
    <xdr:graphicFrame>
      <xdr:nvGraphicFramePr>
        <xdr:cNvPr id="8" name="Chart 1"/>
        <xdr:cNvGraphicFramePr/>
      </xdr:nvGraphicFramePr>
      <xdr:xfrm>
        <a:off x="232560" y="8744040"/>
        <a:ext cx="3998520" cy="338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45</xdr:row>
      <xdr:rowOff>0</xdr:rowOff>
    </xdr:from>
    <xdr:to>
      <xdr:col>13</xdr:col>
      <xdr:colOff>801720</xdr:colOff>
      <xdr:row>62</xdr:row>
      <xdr:rowOff>150120</xdr:rowOff>
    </xdr:to>
    <xdr:graphicFrame>
      <xdr:nvGraphicFramePr>
        <xdr:cNvPr id="9" name="Chart 2"/>
        <xdr:cNvGraphicFramePr/>
      </xdr:nvGraphicFramePr>
      <xdr:xfrm>
        <a:off x="8444160" y="8744040"/>
        <a:ext cx="4055400" cy="338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125280</xdr:colOff>
      <xdr:row>83</xdr:row>
      <xdr:rowOff>150120</xdr:rowOff>
    </xdr:to>
    <xdr:graphicFrame>
      <xdr:nvGraphicFramePr>
        <xdr:cNvPr id="10" name="Chart 3"/>
        <xdr:cNvGraphicFramePr/>
      </xdr:nvGraphicFramePr>
      <xdr:xfrm>
        <a:off x="232560" y="12744360"/>
        <a:ext cx="3998520" cy="338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66</xdr:row>
      <xdr:rowOff>0</xdr:rowOff>
    </xdr:from>
    <xdr:to>
      <xdr:col>13</xdr:col>
      <xdr:colOff>801720</xdr:colOff>
      <xdr:row>83</xdr:row>
      <xdr:rowOff>150120</xdr:rowOff>
    </xdr:to>
    <xdr:graphicFrame>
      <xdr:nvGraphicFramePr>
        <xdr:cNvPr id="11" name="Chart 4"/>
        <xdr:cNvGraphicFramePr/>
      </xdr:nvGraphicFramePr>
      <xdr:xfrm>
        <a:off x="8444160" y="12744360"/>
        <a:ext cx="4055400" cy="338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88</xdr:row>
      <xdr:rowOff>0</xdr:rowOff>
    </xdr:from>
    <xdr:to>
      <xdr:col>6</xdr:col>
      <xdr:colOff>169920</xdr:colOff>
      <xdr:row>111</xdr:row>
      <xdr:rowOff>92880</xdr:rowOff>
    </xdr:to>
    <xdr:graphicFrame>
      <xdr:nvGraphicFramePr>
        <xdr:cNvPr id="12" name="Chart 5"/>
        <xdr:cNvGraphicFramePr/>
      </xdr:nvGraphicFramePr>
      <xdr:xfrm>
        <a:off x="232560" y="16935480"/>
        <a:ext cx="5360400" cy="447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0</xdr:colOff>
      <xdr:row>115</xdr:row>
      <xdr:rowOff>0</xdr:rowOff>
    </xdr:from>
    <xdr:to>
      <xdr:col>23</xdr:col>
      <xdr:colOff>1083600</xdr:colOff>
      <xdr:row>115</xdr:row>
      <xdr:rowOff>1140840</xdr:rowOff>
    </xdr:to>
    <xdr:graphicFrame>
      <xdr:nvGraphicFramePr>
        <xdr:cNvPr id="13" name="Chart 6"/>
        <xdr:cNvGraphicFramePr/>
      </xdr:nvGraphicFramePr>
      <xdr:xfrm>
        <a:off x="19832400" y="22221720"/>
        <a:ext cx="108360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25</xdr:col>
      <xdr:colOff>0</xdr:colOff>
      <xdr:row>115</xdr:row>
      <xdr:rowOff>0</xdr:rowOff>
    </xdr:from>
    <xdr:to>
      <xdr:col>25</xdr:col>
      <xdr:colOff>1083600</xdr:colOff>
      <xdr:row>115</xdr:row>
      <xdr:rowOff>1140840</xdr:rowOff>
    </xdr:to>
    <xdr:graphicFrame>
      <xdr:nvGraphicFramePr>
        <xdr:cNvPr id="14" name="Chart 7"/>
        <xdr:cNvGraphicFramePr/>
      </xdr:nvGraphicFramePr>
      <xdr:xfrm>
        <a:off x="21204720" y="22221720"/>
        <a:ext cx="108360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0</xdr:colOff>
      <xdr:row>115</xdr:row>
      <xdr:rowOff>0</xdr:rowOff>
    </xdr:from>
    <xdr:to>
      <xdr:col>27</xdr:col>
      <xdr:colOff>1083600</xdr:colOff>
      <xdr:row>115</xdr:row>
      <xdr:rowOff>1140840</xdr:rowOff>
    </xdr:to>
    <xdr:graphicFrame>
      <xdr:nvGraphicFramePr>
        <xdr:cNvPr id="15" name="Chart 8"/>
        <xdr:cNvGraphicFramePr/>
      </xdr:nvGraphicFramePr>
      <xdr:xfrm>
        <a:off x="22576680" y="22221720"/>
        <a:ext cx="108360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29</xdr:col>
      <xdr:colOff>0</xdr:colOff>
      <xdr:row>115</xdr:row>
      <xdr:rowOff>0</xdr:rowOff>
    </xdr:from>
    <xdr:to>
      <xdr:col>29</xdr:col>
      <xdr:colOff>1083600</xdr:colOff>
      <xdr:row>115</xdr:row>
      <xdr:rowOff>1140840</xdr:rowOff>
    </xdr:to>
    <xdr:graphicFrame>
      <xdr:nvGraphicFramePr>
        <xdr:cNvPr id="16" name="Chart 9"/>
        <xdr:cNvGraphicFramePr/>
      </xdr:nvGraphicFramePr>
      <xdr:xfrm>
        <a:off x="23949000" y="22221720"/>
        <a:ext cx="108360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31</xdr:col>
      <xdr:colOff>0</xdr:colOff>
      <xdr:row>115</xdr:row>
      <xdr:rowOff>0</xdr:rowOff>
    </xdr:from>
    <xdr:to>
      <xdr:col>31</xdr:col>
      <xdr:colOff>1083600</xdr:colOff>
      <xdr:row>115</xdr:row>
      <xdr:rowOff>1140840</xdr:rowOff>
    </xdr:to>
    <xdr:graphicFrame>
      <xdr:nvGraphicFramePr>
        <xdr:cNvPr id="17" name="Chart 10"/>
        <xdr:cNvGraphicFramePr/>
      </xdr:nvGraphicFramePr>
      <xdr:xfrm>
        <a:off x="25321320" y="22221720"/>
        <a:ext cx="108360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33</xdr:col>
      <xdr:colOff>0</xdr:colOff>
      <xdr:row>115</xdr:row>
      <xdr:rowOff>0</xdr:rowOff>
    </xdr:from>
    <xdr:to>
      <xdr:col>33</xdr:col>
      <xdr:colOff>1083600</xdr:colOff>
      <xdr:row>115</xdr:row>
      <xdr:rowOff>1140840</xdr:rowOff>
    </xdr:to>
    <xdr:graphicFrame>
      <xdr:nvGraphicFramePr>
        <xdr:cNvPr id="18" name="Chart 11"/>
        <xdr:cNvGraphicFramePr/>
      </xdr:nvGraphicFramePr>
      <xdr:xfrm>
        <a:off x="26693640" y="22221720"/>
        <a:ext cx="108360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35</xdr:col>
      <xdr:colOff>0</xdr:colOff>
      <xdr:row>115</xdr:row>
      <xdr:rowOff>0</xdr:rowOff>
    </xdr:from>
    <xdr:to>
      <xdr:col>35</xdr:col>
      <xdr:colOff>1083600</xdr:colOff>
      <xdr:row>115</xdr:row>
      <xdr:rowOff>1140840</xdr:rowOff>
    </xdr:to>
    <xdr:graphicFrame>
      <xdr:nvGraphicFramePr>
        <xdr:cNvPr id="19" name="Chart 12"/>
        <xdr:cNvGraphicFramePr/>
      </xdr:nvGraphicFramePr>
      <xdr:xfrm>
        <a:off x="28065600" y="22221720"/>
        <a:ext cx="1083600" cy="11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137</xdr:row>
      <xdr:rowOff>0</xdr:rowOff>
    </xdr:from>
    <xdr:to>
      <xdr:col>4</xdr:col>
      <xdr:colOff>84600</xdr:colOff>
      <xdr:row>148</xdr:row>
      <xdr:rowOff>62280</xdr:rowOff>
    </xdr:to>
    <xdr:graphicFrame>
      <xdr:nvGraphicFramePr>
        <xdr:cNvPr id="20" name="Chart 13"/>
        <xdr:cNvGraphicFramePr/>
      </xdr:nvGraphicFramePr>
      <xdr:xfrm>
        <a:off x="232560" y="27184320"/>
        <a:ext cx="3957840" cy="21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</xdr:col>
      <xdr:colOff>0</xdr:colOff>
      <xdr:row>137</xdr:row>
      <xdr:rowOff>0</xdr:rowOff>
    </xdr:from>
    <xdr:to>
      <xdr:col>13</xdr:col>
      <xdr:colOff>704160</xdr:colOff>
      <xdr:row>148</xdr:row>
      <xdr:rowOff>62280</xdr:rowOff>
    </xdr:to>
    <xdr:graphicFrame>
      <xdr:nvGraphicFramePr>
        <xdr:cNvPr id="21" name="Chart 14"/>
        <xdr:cNvGraphicFramePr/>
      </xdr:nvGraphicFramePr>
      <xdr:xfrm>
        <a:off x="8444160" y="27184320"/>
        <a:ext cx="3957840" cy="21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9</xdr:col>
      <xdr:colOff>602280</xdr:colOff>
      <xdr:row>17</xdr:row>
      <xdr:rowOff>16920</xdr:rowOff>
    </xdr:to>
    <xdr:pic>
      <xdr:nvPicPr>
        <xdr:cNvPr id="22" name="Image 1" descr="Picture"/>
        <xdr:cNvPicPr/>
      </xdr:nvPicPr>
      <xdr:blipFill>
        <a:blip r:embed="rId1"/>
        <a:stretch/>
      </xdr:blipFill>
      <xdr:spPr>
        <a:xfrm>
          <a:off x="5655240" y="1171440"/>
          <a:ext cx="3236400" cy="3236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A6"/>
    <pageSetUpPr fitToPage="false"/>
  </sheetPr>
  <dimension ref="A1:AL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C10" activeCellId="0" sqref="C10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3" min="3" style="1" width="4.57"/>
    <col collapsed="false" customWidth="true" hidden="false" outlineLevel="0" max="34" min="34" style="1" width="11"/>
    <col collapsed="false" customWidth="true" hidden="false" outlineLevel="0" max="37" min="35" style="1" width="12"/>
    <col collapsed="false" customWidth="true" hidden="false" outlineLevel="0" max="38" min="38" style="1" width="8.71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customFormat="false" ht="15" hidden="false" customHeight="true" outlineLevel="0" collapsed="false">
      <c r="A2" s="4" t="str">
        <f aca="false">TEXT(DATE(CONFIG!C4,CONFIG!C5,1),"mmmm yyyy")&amp;"   ·   seguimiento mensual"</f>
        <v>September 2026   ·   seguimiento mensual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3"/>
    </row>
    <row r="3" customFormat="false" ht="15" hidden="false" customHeight="true" outlineLevel="0" collapsed="false">
      <c r="A3" s="3"/>
      <c r="B3" s="5" t="s">
        <v>1</v>
      </c>
      <c r="C3" s="5"/>
      <c r="D3" s="5"/>
      <c r="E3" s="5" t="s">
        <v>2</v>
      </c>
      <c r="F3" s="5"/>
      <c r="G3" s="5"/>
      <c r="H3" s="5" t="s">
        <v>3</v>
      </c>
      <c r="I3" s="5"/>
      <c r="J3" s="5"/>
      <c r="K3" s="5" t="s">
        <v>4</v>
      </c>
      <c r="L3" s="5"/>
      <c r="M3" s="5"/>
      <c r="N3" s="5" t="s">
        <v>5</v>
      </c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customFormat="false" ht="15" hidden="false" customHeight="true" outlineLevel="0" collapsed="false">
      <c r="A4" s="3"/>
      <c r="B4" s="6" t="n">
        <f aca="false">10</f>
        <v>10</v>
      </c>
      <c r="C4" s="6"/>
      <c r="D4" s="6"/>
      <c r="E4" s="6" t="n">
        <f aca="false">SUM(C10:AG19)</f>
        <v>2</v>
      </c>
      <c r="F4" s="6"/>
      <c r="G4" s="6"/>
      <c r="H4" s="7" t="n">
        <f aca="false">IFERROR(SUM(C10:AG19)/(DAY(EOMONTH(DATE(CONFIG!C4,CONFIG!C5,1),0))*10),0)</f>
        <v>0.00666666666666667</v>
      </c>
      <c r="I4" s="7"/>
      <c r="J4" s="7"/>
      <c r="K4" s="6" t="n">
        <f aca="false">IFERROR(INDEX(C24:AG24,SUMPRODUCT(MAX((C24:AG24&lt;&gt;"")*COLUMN(C24:AG24)))-COLUMN(C24)+1),0)</f>
        <v>1</v>
      </c>
      <c r="L4" s="6"/>
      <c r="M4" s="6"/>
      <c r="N4" s="8" t="n">
        <f aca="false">IFERROR(AVERAGEIF(C22:AG22,"&gt;0",C22:AG22),0)</f>
        <v>6.33333333333333</v>
      </c>
      <c r="O4" s="8"/>
      <c r="P4" s="8"/>
      <c r="Q4" s="9" t="str">
        <f aca="false">REPT("■",ROUND(H4*30,0))&amp;REPT("·",30-ROUND(H4*30,0))</f>
        <v>······························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3"/>
    </row>
    <row r="5" customFormat="false" ht="15" hidden="false" customHeight="true" outlineLevel="0" collapsed="false">
      <c r="A5" s="3"/>
      <c r="B5" s="6"/>
      <c r="C5" s="6"/>
      <c r="D5" s="6"/>
      <c r="E5" s="6"/>
      <c r="F5" s="6"/>
      <c r="G5" s="6"/>
      <c r="H5" s="7"/>
      <c r="I5" s="7"/>
      <c r="J5" s="7"/>
      <c r="K5" s="6"/>
      <c r="L5" s="6"/>
      <c r="M5" s="6"/>
      <c r="N5" s="8"/>
      <c r="O5" s="8"/>
      <c r="P5" s="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3"/>
    </row>
    <row r="6" customFormat="false" ht="15" hidden="false" customHeight="true" outlineLevel="0" collapsed="false">
      <c r="A6" s="3"/>
      <c r="B6" s="6"/>
      <c r="C6" s="6"/>
      <c r="D6" s="6"/>
      <c r="E6" s="6"/>
      <c r="F6" s="6"/>
      <c r="G6" s="6"/>
      <c r="H6" s="7"/>
      <c r="I6" s="7"/>
      <c r="J6" s="7"/>
      <c r="K6" s="6"/>
      <c r="L6" s="6"/>
      <c r="M6" s="6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customFormat="false" ht="15" hidden="false" customHeight="true" outlineLevel="0" collapsed="false">
      <c r="A8" s="10" t="s">
        <v>6</v>
      </c>
      <c r="B8" s="10" t="s">
        <v>7</v>
      </c>
      <c r="C8" s="11" t="str">
        <f aca="false">IF(DAY(EOMONTH(DATE(CONFIG!C4,CONFIG!C5,1),0))&gt;=1,"W1","")</f>
        <v>W1</v>
      </c>
      <c r="D8" s="11" t="str">
        <f aca="false">IF(DAY(EOMONTH(DATE(CONFIG!C4,CONFIG!C5,1),0))&gt;=2,"W1","")</f>
        <v>W1</v>
      </c>
      <c r="E8" s="11" t="str">
        <f aca="false">IF(DAY(EOMONTH(DATE(CONFIG!C4,CONFIG!C5,1),0))&gt;=3,"W1","")</f>
        <v>W1</v>
      </c>
      <c r="F8" s="11" t="str">
        <f aca="false">IF(DAY(EOMONTH(DATE(CONFIG!C4,CONFIG!C5,1),0))&gt;=4,"W1","")</f>
        <v>W1</v>
      </c>
      <c r="G8" s="11" t="str">
        <f aca="false">IF(DAY(EOMONTH(DATE(CONFIG!C4,CONFIG!C5,1),0))&gt;=5,"W1","")</f>
        <v>W1</v>
      </c>
      <c r="H8" s="11" t="str">
        <f aca="false">IF(DAY(EOMONTH(DATE(CONFIG!C4,CONFIG!C5,1),0))&gt;=6,"W1","")</f>
        <v>W1</v>
      </c>
      <c r="I8" s="11" t="str">
        <f aca="false">IF(DAY(EOMONTH(DATE(CONFIG!C4,CONFIG!C5,1),0))&gt;=7,"W1","")</f>
        <v>W1</v>
      </c>
      <c r="J8" s="12" t="str">
        <f aca="false">IF(DAY(EOMONTH(DATE(CONFIG!C4,CONFIG!C5,1),0))&gt;=8,"W2","")</f>
        <v>W2</v>
      </c>
      <c r="K8" s="12" t="str">
        <f aca="false">IF(DAY(EOMONTH(DATE(CONFIG!C4,CONFIG!C5,1),0))&gt;=9,"W2","")</f>
        <v>W2</v>
      </c>
      <c r="L8" s="12" t="str">
        <f aca="false">IF(DAY(EOMONTH(DATE(CONFIG!C4,CONFIG!C5,1),0))&gt;=10,"W2","")</f>
        <v>W2</v>
      </c>
      <c r="M8" s="12" t="str">
        <f aca="false">IF(DAY(EOMONTH(DATE(CONFIG!C4,CONFIG!C5,1),0))&gt;=11,"W2","")</f>
        <v>W2</v>
      </c>
      <c r="N8" s="12" t="str">
        <f aca="false">IF(DAY(EOMONTH(DATE(CONFIG!C4,CONFIG!C5,1),0))&gt;=12,"W2","")</f>
        <v>W2</v>
      </c>
      <c r="O8" s="12" t="str">
        <f aca="false">IF(DAY(EOMONTH(DATE(CONFIG!C4,CONFIG!C5,1),0))&gt;=13,"W2","")</f>
        <v>W2</v>
      </c>
      <c r="P8" s="12" t="str">
        <f aca="false">IF(DAY(EOMONTH(DATE(CONFIG!C4,CONFIG!C5,1),0))&gt;=14,"W2","")</f>
        <v>W2</v>
      </c>
      <c r="Q8" s="13" t="str">
        <f aca="false">IF(DAY(EOMONTH(DATE(CONFIG!C4,CONFIG!C5,1),0))&gt;=15,"W3","")</f>
        <v>W3</v>
      </c>
      <c r="R8" s="13" t="str">
        <f aca="false">IF(DAY(EOMONTH(DATE(CONFIG!C4,CONFIG!C5,1),0))&gt;=16,"W3","")</f>
        <v>W3</v>
      </c>
      <c r="S8" s="13" t="str">
        <f aca="false">IF(DAY(EOMONTH(DATE(CONFIG!C4,CONFIG!C5,1),0))&gt;=17,"W3","")</f>
        <v>W3</v>
      </c>
      <c r="T8" s="13" t="str">
        <f aca="false">IF(DAY(EOMONTH(DATE(CONFIG!C4,CONFIG!C5,1),0))&gt;=18,"W3","")</f>
        <v>W3</v>
      </c>
      <c r="U8" s="13" t="str">
        <f aca="false">IF(DAY(EOMONTH(DATE(CONFIG!C4,CONFIG!C5,1),0))&gt;=19,"W3","")</f>
        <v>W3</v>
      </c>
      <c r="V8" s="13" t="str">
        <f aca="false">IF(DAY(EOMONTH(DATE(CONFIG!C4,CONFIG!C5,1),0))&gt;=20,"W3","")</f>
        <v>W3</v>
      </c>
      <c r="W8" s="13" t="str">
        <f aca="false">IF(DAY(EOMONTH(DATE(CONFIG!C4,CONFIG!C5,1),0))&gt;=21,"W3","")</f>
        <v>W3</v>
      </c>
      <c r="X8" s="14" t="str">
        <f aca="false">IF(DAY(EOMONTH(DATE(CONFIG!C4,CONFIG!C5,1),0))&gt;=22,"W4","")</f>
        <v>W4</v>
      </c>
      <c r="Y8" s="14" t="str">
        <f aca="false">IF(DAY(EOMONTH(DATE(CONFIG!C4,CONFIG!C5,1),0))&gt;=23,"W4","")</f>
        <v>W4</v>
      </c>
      <c r="Z8" s="14" t="str">
        <f aca="false">IF(DAY(EOMONTH(DATE(CONFIG!C4,CONFIG!C5,1),0))&gt;=24,"W4","")</f>
        <v>W4</v>
      </c>
      <c r="AA8" s="14" t="str">
        <f aca="false">IF(DAY(EOMONTH(DATE(CONFIG!C4,CONFIG!C5,1),0))&gt;=25,"W4","")</f>
        <v>W4</v>
      </c>
      <c r="AB8" s="14" t="str">
        <f aca="false">IF(DAY(EOMONTH(DATE(CONFIG!C4,CONFIG!C5,1),0))&gt;=26,"W4","")</f>
        <v>W4</v>
      </c>
      <c r="AC8" s="14" t="str">
        <f aca="false">IF(DAY(EOMONTH(DATE(CONFIG!C4,CONFIG!C5,1),0))&gt;=27,"W4","")</f>
        <v>W4</v>
      </c>
      <c r="AD8" s="14" t="str">
        <f aca="false">IF(DAY(EOMONTH(DATE(CONFIG!C4,CONFIG!C5,1),0))&gt;=28,"W4","")</f>
        <v>W4</v>
      </c>
      <c r="AE8" s="15" t="str">
        <f aca="false">IF(DAY(EOMONTH(DATE(CONFIG!C4,CONFIG!C5,1),0))&gt;=29,"W5","")</f>
        <v>W5</v>
      </c>
      <c r="AF8" s="15" t="str">
        <f aca="false">IF(DAY(EOMONTH(DATE(CONFIG!C4,CONFIG!C5,1),0))&gt;=30,"W5","")</f>
        <v>W5</v>
      </c>
      <c r="AG8" s="15" t="str">
        <f aca="false">IF(DAY(EOMONTH(DATE(CONFIG!C4,CONFIG!C5,1),0))&gt;=31,"W5","")</f>
        <v/>
      </c>
      <c r="AH8" s="3"/>
      <c r="AI8" s="3"/>
      <c r="AJ8" s="3"/>
      <c r="AK8" s="3"/>
      <c r="AL8" s="3"/>
    </row>
    <row r="9" customFormat="false" ht="15" hidden="false" customHeight="true" outlineLevel="0" collapsed="false">
      <c r="A9" s="3"/>
      <c r="B9" s="3"/>
      <c r="C9" s="16" t="str">
        <f aca="false">IF(DAY(EOMONTH(DATE(CONFIG!C4,CONFIG!C5,1),0))&gt;=1,"1","")</f>
        <v>1</v>
      </c>
      <c r="D9" s="16" t="str">
        <f aca="false">IF(DAY(EOMONTH(DATE(CONFIG!C4,CONFIG!C5,1),0))&gt;=2,"2","")</f>
        <v>2</v>
      </c>
      <c r="E9" s="16" t="str">
        <f aca="false">IF(DAY(EOMONTH(DATE(CONFIG!C4,CONFIG!C5,1),0))&gt;=3,"3","")</f>
        <v>3</v>
      </c>
      <c r="F9" s="16" t="str">
        <f aca="false">IF(DAY(EOMONTH(DATE(CONFIG!C4,CONFIG!C5,1),0))&gt;=4,"4","")</f>
        <v>4</v>
      </c>
      <c r="G9" s="16" t="str">
        <f aca="false">IF(DAY(EOMONTH(DATE(CONFIG!C4,CONFIG!C5,1),0))&gt;=5,"5","")</f>
        <v>5</v>
      </c>
      <c r="H9" s="16" t="str">
        <f aca="false">IF(DAY(EOMONTH(DATE(CONFIG!C4,CONFIG!C5,1),0))&gt;=6,"6","")</f>
        <v>6</v>
      </c>
      <c r="I9" s="16" t="str">
        <f aca="false">IF(DAY(EOMONTH(DATE(CONFIG!C4,CONFIG!C5,1),0))&gt;=7,"7","")</f>
        <v>7</v>
      </c>
      <c r="J9" s="16" t="str">
        <f aca="false">IF(DAY(EOMONTH(DATE(CONFIG!C4,CONFIG!C5,1),0))&gt;=8,"8","")</f>
        <v>8</v>
      </c>
      <c r="K9" s="16" t="str">
        <f aca="false">IF(DAY(EOMONTH(DATE(CONFIG!C4,CONFIG!C5,1),0))&gt;=9,"9","")</f>
        <v>9</v>
      </c>
      <c r="L9" s="16" t="str">
        <f aca="false">IF(DAY(EOMONTH(DATE(CONFIG!C4,CONFIG!C5,1),0))&gt;=10,"10","")</f>
        <v>10</v>
      </c>
      <c r="M9" s="16" t="str">
        <f aca="false">IF(DAY(EOMONTH(DATE(CONFIG!C4,CONFIG!C5,1),0))&gt;=11,"11","")</f>
        <v>11</v>
      </c>
      <c r="N9" s="16" t="str">
        <f aca="false">IF(DAY(EOMONTH(DATE(CONFIG!C4,CONFIG!C5,1),0))&gt;=12,"12","")</f>
        <v>12</v>
      </c>
      <c r="O9" s="16" t="str">
        <f aca="false">IF(DAY(EOMONTH(DATE(CONFIG!C4,CONFIG!C5,1),0))&gt;=13,"13","")</f>
        <v>13</v>
      </c>
      <c r="P9" s="16" t="str">
        <f aca="false">IF(DAY(EOMONTH(DATE(CONFIG!C4,CONFIG!C5,1),0))&gt;=14,"14","")</f>
        <v>14</v>
      </c>
      <c r="Q9" s="16" t="str">
        <f aca="false">IF(DAY(EOMONTH(DATE(CONFIG!C4,CONFIG!C5,1),0))&gt;=15,"15","")</f>
        <v>15</v>
      </c>
      <c r="R9" s="16" t="str">
        <f aca="false">IF(DAY(EOMONTH(DATE(CONFIG!C4,CONFIG!C5,1),0))&gt;=16,"16","")</f>
        <v>16</v>
      </c>
      <c r="S9" s="16" t="str">
        <f aca="false">IF(DAY(EOMONTH(DATE(CONFIG!C4,CONFIG!C5,1),0))&gt;=17,"17","")</f>
        <v>17</v>
      </c>
      <c r="T9" s="16" t="str">
        <f aca="false">IF(DAY(EOMONTH(DATE(CONFIG!C4,CONFIG!C5,1),0))&gt;=18,"18","")</f>
        <v>18</v>
      </c>
      <c r="U9" s="16" t="str">
        <f aca="false">IF(DAY(EOMONTH(DATE(CONFIG!C4,CONFIG!C5,1),0))&gt;=19,"19","")</f>
        <v>19</v>
      </c>
      <c r="V9" s="16" t="str">
        <f aca="false">IF(DAY(EOMONTH(DATE(CONFIG!C4,CONFIG!C5,1),0))&gt;=20,"20","")</f>
        <v>20</v>
      </c>
      <c r="W9" s="16" t="str">
        <f aca="false">IF(DAY(EOMONTH(DATE(CONFIG!C4,CONFIG!C5,1),0))&gt;=21,"21","")</f>
        <v>21</v>
      </c>
      <c r="X9" s="16" t="str">
        <f aca="false">IF(DAY(EOMONTH(DATE(CONFIG!C4,CONFIG!C5,1),0))&gt;=22,"22","")</f>
        <v>22</v>
      </c>
      <c r="Y9" s="16" t="str">
        <f aca="false">IF(DAY(EOMONTH(DATE(CONFIG!C4,CONFIG!C5,1),0))&gt;=23,"23","")</f>
        <v>23</v>
      </c>
      <c r="Z9" s="16" t="str">
        <f aca="false">IF(DAY(EOMONTH(DATE(CONFIG!C4,CONFIG!C5,1),0))&gt;=24,"24","")</f>
        <v>24</v>
      </c>
      <c r="AA9" s="16" t="str">
        <f aca="false">IF(DAY(EOMONTH(DATE(CONFIG!C4,CONFIG!C5,1),0))&gt;=25,"25","")</f>
        <v>25</v>
      </c>
      <c r="AB9" s="16" t="str">
        <f aca="false">IF(DAY(EOMONTH(DATE(CONFIG!C4,CONFIG!C5,1),0))&gt;=26,"26","")</f>
        <v>26</v>
      </c>
      <c r="AC9" s="16" t="str">
        <f aca="false">IF(DAY(EOMONTH(DATE(CONFIG!C4,CONFIG!C5,1),0))&gt;=27,"27","")</f>
        <v>27</v>
      </c>
      <c r="AD9" s="16" t="str">
        <f aca="false">IF(DAY(EOMONTH(DATE(CONFIG!C4,CONFIG!C5,1),0))&gt;=28,"28","")</f>
        <v>28</v>
      </c>
      <c r="AE9" s="16" t="str">
        <f aca="false">IF(DAY(EOMONTH(DATE(CONFIG!C4,CONFIG!C5,1),0))&gt;=29,"29","")</f>
        <v>29</v>
      </c>
      <c r="AF9" s="16" t="str">
        <f aca="false">IF(DAY(EOMONTH(DATE(CONFIG!C4,CONFIG!C5,1),0))&gt;=30,"30","")</f>
        <v>30</v>
      </c>
      <c r="AG9" s="16" t="str">
        <f aca="false">IF(DAY(EOMONTH(DATE(CONFIG!C4,CONFIG!C5,1),0))&gt;=31,"31","")</f>
        <v/>
      </c>
      <c r="AH9" s="3"/>
      <c r="AI9" s="3"/>
      <c r="AJ9" s="3"/>
      <c r="AK9" s="3"/>
      <c r="AL9" s="3"/>
    </row>
    <row r="10" customFormat="false" ht="18" hidden="false" customHeight="true" outlineLevel="0" collapsed="false">
      <c r="A10" s="17" t="str">
        <f aca="false">CONFIG!B9</f>
        <v>Estudiar</v>
      </c>
      <c r="B10" s="18" t="n">
        <f aca="false">SUM(C10:AG10)</f>
        <v>2</v>
      </c>
      <c r="C10" s="19" t="n">
        <v>1</v>
      </c>
      <c r="D10" s="19"/>
      <c r="E10" s="19" t="n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3"/>
      <c r="AI10" s="3"/>
      <c r="AJ10" s="3"/>
      <c r="AK10" s="3"/>
      <c r="AL10" s="3"/>
    </row>
    <row r="11" customFormat="false" ht="18" hidden="false" customHeight="true" outlineLevel="0" collapsed="false">
      <c r="A11" s="17" t="str">
        <f aca="false">CONFIG!B10</f>
        <v>Entrenar</v>
      </c>
      <c r="B11" s="18" t="n">
        <f aca="false">SUM(C11:AG11)</f>
        <v>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3"/>
      <c r="AI11" s="3"/>
      <c r="AJ11" s="3"/>
      <c r="AK11" s="3"/>
      <c r="AL11" s="3"/>
    </row>
    <row r="12" customFormat="false" ht="18" hidden="false" customHeight="true" outlineLevel="0" collapsed="false">
      <c r="A12" s="17" t="str">
        <f aca="false">CONFIG!B11</f>
        <v>Modulo Inglés</v>
      </c>
      <c r="B12" s="18" t="n">
        <f aca="false">SUM(C12:AG12)</f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3"/>
      <c r="AI12" s="3"/>
      <c r="AJ12" s="3"/>
      <c r="AK12" s="3"/>
      <c r="AL12" s="3"/>
    </row>
    <row r="13" customFormat="false" ht="18" hidden="false" customHeight="true" outlineLevel="0" collapsed="false">
      <c r="A13" s="17" t="str">
        <f aca="false">CONFIG!B12</f>
        <v>-Flashcards</v>
      </c>
      <c r="B13" s="18" t="n">
        <f aca="false">SUM(C13:AG13)</f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3"/>
      <c r="AI13" s="3"/>
      <c r="AJ13" s="3"/>
      <c r="AK13" s="3"/>
      <c r="AL13" s="3"/>
    </row>
    <row r="14" customFormat="false" ht="18" hidden="false" customHeight="true" outlineLevel="0" collapsed="false">
      <c r="A14" s="17" t="str">
        <f aca="false">CONFIG!B13</f>
        <v>-Input / idioma</v>
      </c>
      <c r="B14" s="18" t="n">
        <f aca="false">SUM(C14:AG14)</f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3"/>
      <c r="AI14" s="3"/>
      <c r="AJ14" s="3"/>
      <c r="AK14" s="3"/>
      <c r="AL14" s="3"/>
    </row>
    <row r="15" customFormat="false" ht="18" hidden="false" customHeight="true" outlineLevel="0" collapsed="false">
      <c r="A15" s="17" t="str">
        <f aca="false">CONFIG!B14</f>
        <v>-Lectura english</v>
      </c>
      <c r="B15" s="18" t="n">
        <f aca="false">SUM(C15:AG15)</f>
        <v>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3"/>
      <c r="AI15" s="3"/>
      <c r="AJ15" s="3"/>
      <c r="AK15" s="3"/>
      <c r="AL15" s="3"/>
    </row>
    <row r="16" customFormat="false" ht="18" hidden="false" customHeight="true" outlineLevel="0" collapsed="false">
      <c r="A16" s="17" t="str">
        <f aca="false">CONFIG!B15</f>
        <v>-Grammar</v>
      </c>
      <c r="B16" s="18" t="n">
        <f aca="false">SUM(C16:AG16)</f>
        <v>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3"/>
      <c r="AI16" s="3"/>
      <c r="AJ16" s="3"/>
      <c r="AK16" s="3"/>
      <c r="AL16" s="3"/>
    </row>
    <row r="17" customFormat="false" ht="18" hidden="false" customHeight="true" outlineLevel="0" collapsed="false">
      <c r="A17" s="17" t="str">
        <f aca="false">CONFIG!B16</f>
        <v>-Input Gamer</v>
      </c>
      <c r="B17" s="18" t="n">
        <f aca="false">SUM(C17:AG17)</f>
        <v>0</v>
      </c>
      <c r="C17" s="19"/>
      <c r="D17" s="19" t="n">
        <v>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3"/>
      <c r="AI17" s="3"/>
      <c r="AJ17" s="3"/>
      <c r="AK17" s="3"/>
      <c r="AL17" s="3"/>
    </row>
    <row r="18" customFormat="false" ht="18" hidden="false" customHeight="true" outlineLevel="0" collapsed="false">
      <c r="A18" s="17" t="str">
        <f aca="false">CONFIG!B17</f>
        <v>Leer 1h</v>
      </c>
      <c r="B18" s="18" t="n">
        <f aca="false">SUM(C18:AG18)</f>
        <v>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3"/>
      <c r="AI18" s="3"/>
      <c r="AJ18" s="3"/>
      <c r="AK18" s="3"/>
      <c r="AL18" s="3"/>
    </row>
    <row r="19" customFormat="false" ht="18" hidden="false" customHeight="true" outlineLevel="0" collapsed="false">
      <c r="A19" s="17" t="str">
        <f aca="false">CONFIG!B18</f>
        <v>Mindfulness</v>
      </c>
      <c r="B19" s="18" t="n">
        <f aca="false">SUM(C19:AG19)</f>
        <v>0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3"/>
      <c r="AI19" s="3"/>
      <c r="AJ19" s="3"/>
      <c r="AK19" s="3"/>
      <c r="AL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customFormat="false" ht="15" hidden="false" customHeight="true" outlineLevel="0" collapsed="false">
      <c r="A21" s="20" t="s">
        <v>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customFormat="false" ht="15" hidden="false" customHeight="true" outlineLevel="0" collapsed="false">
      <c r="A22" s="10" t="s">
        <v>5</v>
      </c>
      <c r="B22" s="3"/>
      <c r="C22" s="21" t="n">
        <v>7</v>
      </c>
      <c r="D22" s="21" t="n">
        <v>4</v>
      </c>
      <c r="E22" s="21" t="n">
        <v>8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3"/>
      <c r="AI22" s="3"/>
      <c r="AJ22" s="3"/>
      <c r="AK22" s="3"/>
      <c r="AL22" s="3"/>
    </row>
    <row r="23" customFormat="false" ht="15" hidden="false" customHeight="true" outlineLevel="0" collapsed="false">
      <c r="A23" s="10" t="s">
        <v>9</v>
      </c>
      <c r="B23" s="3"/>
      <c r="C23" s="22" t="s">
        <v>10</v>
      </c>
      <c r="D23" s="22" t="s">
        <v>11</v>
      </c>
      <c r="E23" s="22" t="s">
        <v>10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3"/>
      <c r="AI23" s="3"/>
      <c r="AJ23" s="3"/>
      <c r="AK23" s="3"/>
      <c r="AL23" s="3"/>
    </row>
    <row r="24" customFormat="false" ht="15" hidden="false" customHeight="true" outlineLevel="0" collapsed="false">
      <c r="A24" s="10" t="s">
        <v>4</v>
      </c>
      <c r="B24" s="3"/>
      <c r="C24" s="23" t="n">
        <f aca="false">IF(C23="SI",IF(C23="","",IF(COLUMN()=3,1,B24+1)),IF(C23="","",0))</f>
        <v>1</v>
      </c>
      <c r="D24" s="23" t="n">
        <f aca="false">IF(D23="SI",IF(D23="","",IF(COLUMN()=3,1,C24+1)),IF(D23="","",0))</f>
        <v>0</v>
      </c>
      <c r="E24" s="23" t="n">
        <f aca="false">IF(E23="SI",IF(E23="","",IF(COLUMN()=3,1,D24+1)),IF(E23="","",0))</f>
        <v>1</v>
      </c>
      <c r="F24" s="23" t="str">
        <f aca="false">IF(F23="SI",IF(F23="","",IF(COLUMN()=3,1,E24+1)),IF(F23="","",0))</f>
        <v/>
      </c>
      <c r="G24" s="23" t="str">
        <f aca="false">IF(G23="SI",IF(G23="","",IF(COLUMN()=3,1,F24+1)),IF(G23="","",0))</f>
        <v/>
      </c>
      <c r="H24" s="23" t="str">
        <f aca="false">IF(H23="SI",IF(H23="","",IF(COLUMN()=3,1,G24+1)),IF(H23="","",0))</f>
        <v/>
      </c>
      <c r="I24" s="23" t="str">
        <f aca="false">IF(I23="SI",IF(I23="","",IF(COLUMN()=3,1,H24+1)),IF(I23="","",0))</f>
        <v/>
      </c>
      <c r="J24" s="23" t="str">
        <f aca="false">IF(J23="SI",IF(J23="","",IF(COLUMN()=3,1,I24+1)),IF(J23="","",0))</f>
        <v/>
      </c>
      <c r="K24" s="23" t="str">
        <f aca="false">IF(K23="SI",IF(K23="","",IF(COLUMN()=3,1,J24+1)),IF(K23="","",0))</f>
        <v/>
      </c>
      <c r="L24" s="23" t="str">
        <f aca="false">IF(L23="SI",IF(L23="","",IF(COLUMN()=3,1,K24+1)),IF(L23="","",0))</f>
        <v/>
      </c>
      <c r="M24" s="23" t="str">
        <f aca="false">IF(M23="SI",IF(M23="","",IF(COLUMN()=3,1,L24+1)),IF(M23="","",0))</f>
        <v/>
      </c>
      <c r="N24" s="23" t="str">
        <f aca="false">IF(N23="SI",IF(N23="","",IF(COLUMN()=3,1,M24+1)),IF(N23="","",0))</f>
        <v/>
      </c>
      <c r="O24" s="23" t="str">
        <f aca="false">IF(O23="SI",IF(O23="","",IF(COLUMN()=3,1,N24+1)),IF(O23="","",0))</f>
        <v/>
      </c>
      <c r="P24" s="23" t="str">
        <f aca="false">IF(P23="SI",IF(P23="","",IF(COLUMN()=3,1,O24+1)),IF(P23="","",0))</f>
        <v/>
      </c>
      <c r="Q24" s="23" t="str">
        <f aca="false">IF(Q23="SI",IF(Q23="","",IF(COLUMN()=3,1,P24+1)),IF(Q23="","",0))</f>
        <v/>
      </c>
      <c r="R24" s="23" t="str">
        <f aca="false">IF(R23="SI",IF(R23="","",IF(COLUMN()=3,1,Q24+1)),IF(R23="","",0))</f>
        <v/>
      </c>
      <c r="S24" s="23" t="str">
        <f aca="false">IF(S23="SI",IF(S23="","",IF(COLUMN()=3,1,R24+1)),IF(S23="","",0))</f>
        <v/>
      </c>
      <c r="T24" s="23" t="str">
        <f aca="false">IF(T23="SI",IF(T23="","",IF(COLUMN()=3,1,S24+1)),IF(T23="","",0))</f>
        <v/>
      </c>
      <c r="U24" s="23" t="str">
        <f aca="false">IF(U23="SI",IF(U23="","",IF(COLUMN()=3,1,T24+1)),IF(U23="","",0))</f>
        <v/>
      </c>
      <c r="V24" s="23" t="str">
        <f aca="false">IF(V23="SI",IF(V23="","",IF(COLUMN()=3,1,U24+1)),IF(V23="","",0))</f>
        <v/>
      </c>
      <c r="W24" s="23" t="str">
        <f aca="false">IF(W23="SI",IF(W23="","",IF(COLUMN()=3,1,V24+1)),IF(W23="","",0))</f>
        <v/>
      </c>
      <c r="X24" s="23" t="str">
        <f aca="false">IF(X23="SI",IF(X23="","",IF(COLUMN()=3,1,W24+1)),IF(X23="","",0))</f>
        <v/>
      </c>
      <c r="Y24" s="23" t="str">
        <f aca="false">IF(Y23="SI",IF(Y23="","",IF(COLUMN()=3,1,X24+1)),IF(Y23="","",0))</f>
        <v/>
      </c>
      <c r="Z24" s="23" t="str">
        <f aca="false">IF(Z23="SI",IF(Z23="","",IF(COLUMN()=3,1,Y24+1)),IF(Z23="","",0))</f>
        <v/>
      </c>
      <c r="AA24" s="23" t="str">
        <f aca="false">IF(AA23="SI",IF(AA23="","",IF(COLUMN()=3,1,Z24+1)),IF(AA23="","",0))</f>
        <v/>
      </c>
      <c r="AB24" s="23" t="str">
        <f aca="false">IF(AB23="SI",IF(AB23="","",IF(COLUMN()=3,1,AA24+1)),IF(AB23="","",0))</f>
        <v/>
      </c>
      <c r="AC24" s="23" t="str">
        <f aca="false">IF(AC23="SI",IF(AC23="","",IF(COLUMN()=3,1,AB24+1)),IF(AC23="","",0))</f>
        <v/>
      </c>
      <c r="AD24" s="23" t="str">
        <f aca="false">IF(AD23="SI",IF(AD23="","",IF(COLUMN()=3,1,AC24+1)),IF(AD23="","",0))</f>
        <v/>
      </c>
      <c r="AE24" s="23" t="str">
        <f aca="false">IF(AE23="SI",IF(AE23="","",IF(COLUMN()=3,1,AD24+1)),IF(AE23="","",0))</f>
        <v/>
      </c>
      <c r="AF24" s="23" t="str">
        <f aca="false">IF(AF23="SI",IF(AF23="","",IF(COLUMN()=3,1,AE24+1)),IF(AF23="","",0))</f>
        <v/>
      </c>
      <c r="AG24" s="23" t="str">
        <f aca="false">IF(AG23="SI",IF(AG23="","",IF(COLUMN()=3,1,AF24+1)),IF(AG23="","",0))</f>
        <v/>
      </c>
      <c r="AH24" s="3"/>
      <c r="AI24" s="3"/>
      <c r="AJ24" s="3"/>
      <c r="AK24" s="3"/>
      <c r="AL24" s="3"/>
    </row>
    <row r="25" customFormat="false" ht="15" hidden="false" customHeight="true" outlineLevel="0" collapsed="false">
      <c r="A25" s="24" t="s">
        <v>12</v>
      </c>
      <c r="B25" s="3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3"/>
      <c r="AI25" s="3"/>
      <c r="AJ25" s="3"/>
      <c r="AK25" s="3"/>
      <c r="AL25" s="3"/>
    </row>
    <row r="26" customFormat="false" ht="15" hidden="false" customHeight="true" outlineLevel="0" collapsed="false">
      <c r="A26" s="24" t="s">
        <v>13</v>
      </c>
      <c r="B26" s="3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3"/>
      <c r="AI26" s="3"/>
      <c r="AJ26" s="3"/>
      <c r="AK26" s="3"/>
      <c r="AL26" s="3"/>
    </row>
    <row r="27" customFormat="false" ht="15" hidden="false" customHeight="true" outlineLevel="0" collapsed="false">
      <c r="A27" s="27" t="s">
        <v>14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3"/>
    </row>
    <row r="28" customFormat="false" ht="15" hidden="false" customHeight="true" outlineLevel="0" collapsed="false">
      <c r="A28" s="28" t="s">
        <v>15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3"/>
    </row>
    <row r="29" customFormat="false" ht="1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3"/>
    </row>
    <row r="30" customFormat="false" ht="1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3"/>
    </row>
    <row r="31" customFormat="false" ht="15" hidden="false" customHeight="true" outlineLevel="0" collapsed="false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3"/>
    </row>
    <row r="32" customFormat="false" ht="1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customFormat="false" ht="15" hidden="false" customHeight="true" outlineLevel="0" collapsed="false">
      <c r="A34" s="20" t="s">
        <v>16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customFormat="false" ht="15" hidden="true" customHeight="true" outlineLevel="0" collapsed="false">
      <c r="A36" s="29" t="s">
        <v>17</v>
      </c>
      <c r="B36" s="3" t="s">
        <v>18</v>
      </c>
      <c r="C36" s="3" t="n">
        <f aca="false">IFERROR(SUM(C10:C19)/10,0)</f>
        <v>0.1</v>
      </c>
      <c r="D36" s="3" t="n">
        <f aca="false">IFERROR(SUM(D10:D19)/10,0)</f>
        <v>0</v>
      </c>
      <c r="E36" s="3" t="n">
        <f aca="false">IFERROR(SUM(E10:E19)/10,0)</f>
        <v>0.1</v>
      </c>
      <c r="F36" s="3" t="n">
        <f aca="false">IFERROR(SUM(F10:F19)/10,0)</f>
        <v>0</v>
      </c>
      <c r="G36" s="3" t="n">
        <f aca="false">IFERROR(SUM(G10:G19)/10,0)</f>
        <v>0</v>
      </c>
      <c r="H36" s="3" t="n">
        <f aca="false">IFERROR(SUM(H10:H19)/10,0)</f>
        <v>0</v>
      </c>
      <c r="I36" s="3" t="n">
        <f aca="false">IFERROR(SUM(I10:I19)/10,0)</f>
        <v>0</v>
      </c>
      <c r="J36" s="3" t="n">
        <f aca="false">IFERROR(SUM(J10:J19)/10,0)</f>
        <v>0</v>
      </c>
      <c r="K36" s="3" t="n">
        <f aca="false">IFERROR(SUM(K10:K19)/10,0)</f>
        <v>0</v>
      </c>
      <c r="L36" s="3" t="n">
        <f aca="false">IFERROR(SUM(L10:L19)/10,0)</f>
        <v>0</v>
      </c>
      <c r="M36" s="3" t="n">
        <f aca="false">IFERROR(SUM(M10:M19)/10,0)</f>
        <v>0</v>
      </c>
      <c r="N36" s="3" t="n">
        <f aca="false">IFERROR(SUM(N10:N19)/10,0)</f>
        <v>0</v>
      </c>
      <c r="O36" s="3" t="n">
        <f aca="false">IFERROR(SUM(O10:O19)/10,0)</f>
        <v>0</v>
      </c>
      <c r="P36" s="3" t="n">
        <f aca="false">IFERROR(SUM(P10:P19)/10,0)</f>
        <v>0</v>
      </c>
      <c r="Q36" s="3" t="n">
        <f aca="false">IFERROR(SUM(Q10:Q19)/10,0)</f>
        <v>0</v>
      </c>
      <c r="R36" s="3" t="n">
        <f aca="false">IFERROR(SUM(R10:R19)/10,0)</f>
        <v>0</v>
      </c>
      <c r="S36" s="3" t="n">
        <f aca="false">IFERROR(SUM(S10:S19)/10,0)</f>
        <v>0</v>
      </c>
      <c r="T36" s="3" t="n">
        <f aca="false">IFERROR(SUM(T10:T19)/10,0)</f>
        <v>0</v>
      </c>
      <c r="U36" s="3" t="n">
        <f aca="false">IFERROR(SUM(U10:U19)/10,0)</f>
        <v>0</v>
      </c>
      <c r="V36" s="3" t="n">
        <f aca="false">IFERROR(SUM(V10:V19)/10,0)</f>
        <v>0</v>
      </c>
      <c r="W36" s="3" t="n">
        <f aca="false">IFERROR(SUM(W10:W19)/10,0)</f>
        <v>0</v>
      </c>
      <c r="X36" s="3" t="n">
        <f aca="false">IFERROR(SUM(X10:X19)/10,0)</f>
        <v>0</v>
      </c>
      <c r="Y36" s="3" t="n">
        <f aca="false">IFERROR(SUM(Y10:Y19)/10,0)</f>
        <v>0</v>
      </c>
      <c r="Z36" s="3" t="n">
        <f aca="false">IFERROR(SUM(Z10:Z19)/10,0)</f>
        <v>0</v>
      </c>
      <c r="AA36" s="3" t="n">
        <f aca="false">IFERROR(SUM(AA10:AA19)/10,0)</f>
        <v>0</v>
      </c>
      <c r="AB36" s="3" t="n">
        <f aca="false">IFERROR(SUM(AB10:AB19)/10,0)</f>
        <v>0</v>
      </c>
      <c r="AC36" s="3" t="n">
        <f aca="false">IFERROR(SUM(AC10:AC19)/10,0)</f>
        <v>0</v>
      </c>
      <c r="AD36" s="3" t="n">
        <f aca="false">IFERROR(SUM(AD10:AD19)/10,0)</f>
        <v>0</v>
      </c>
      <c r="AE36" s="3" t="n">
        <f aca="false">IFERROR(SUM(AE10:AE19)/10,0)</f>
        <v>0</v>
      </c>
      <c r="AF36" s="3" t="n">
        <f aca="false">IFERROR(SUM(AF10:AF19)/10,0)</f>
        <v>0</v>
      </c>
      <c r="AG36" s="3" t="n">
        <f aca="false">IFERROR(SUM(AG10:AG19)/10,0)</f>
        <v>0</v>
      </c>
      <c r="AH36" s="3"/>
      <c r="AI36" s="3"/>
      <c r="AJ36" s="3"/>
      <c r="AK36" s="3"/>
      <c r="AL36" s="3"/>
    </row>
    <row r="37" customFormat="false" ht="15" hidden="true" customHeight="true" outlineLevel="0" collapsed="false">
      <c r="A37" s="29" t="s">
        <v>19</v>
      </c>
      <c r="B37" s="3" t="s">
        <v>20</v>
      </c>
      <c r="C37" s="3" t="n">
        <f aca="false">CONFIG!$C$6/100</f>
        <v>0.8</v>
      </c>
      <c r="D37" s="3" t="n">
        <f aca="false">CONFIG!$C$6/100</f>
        <v>0.8</v>
      </c>
      <c r="E37" s="3" t="n">
        <f aca="false">CONFIG!$C$6/100</f>
        <v>0.8</v>
      </c>
      <c r="F37" s="3" t="n">
        <f aca="false">CONFIG!$C$6/100</f>
        <v>0.8</v>
      </c>
      <c r="G37" s="3" t="n">
        <f aca="false">CONFIG!$C$6/100</f>
        <v>0.8</v>
      </c>
      <c r="H37" s="3" t="n">
        <f aca="false">CONFIG!$C$6/100</f>
        <v>0.8</v>
      </c>
      <c r="I37" s="3" t="n">
        <f aca="false">CONFIG!$C$6/100</f>
        <v>0.8</v>
      </c>
      <c r="J37" s="3" t="n">
        <f aca="false">CONFIG!$C$6/100</f>
        <v>0.8</v>
      </c>
      <c r="K37" s="3" t="n">
        <f aca="false">CONFIG!$C$6/100</f>
        <v>0.8</v>
      </c>
      <c r="L37" s="3" t="n">
        <f aca="false">CONFIG!$C$6/100</f>
        <v>0.8</v>
      </c>
      <c r="M37" s="3" t="n">
        <f aca="false">CONFIG!$C$6/100</f>
        <v>0.8</v>
      </c>
      <c r="N37" s="3" t="n">
        <f aca="false">CONFIG!$C$6/100</f>
        <v>0.8</v>
      </c>
      <c r="O37" s="3" t="n">
        <f aca="false">CONFIG!$C$6/100</f>
        <v>0.8</v>
      </c>
      <c r="P37" s="3" t="n">
        <f aca="false">CONFIG!$C$6/100</f>
        <v>0.8</v>
      </c>
      <c r="Q37" s="3" t="n">
        <f aca="false">CONFIG!$C$6/100</f>
        <v>0.8</v>
      </c>
      <c r="R37" s="3" t="n">
        <f aca="false">CONFIG!$C$6/100</f>
        <v>0.8</v>
      </c>
      <c r="S37" s="3" t="n">
        <f aca="false">CONFIG!$C$6/100</f>
        <v>0.8</v>
      </c>
      <c r="T37" s="3" t="n">
        <f aca="false">CONFIG!$C$6/100</f>
        <v>0.8</v>
      </c>
      <c r="U37" s="3" t="n">
        <f aca="false">CONFIG!$C$6/100</f>
        <v>0.8</v>
      </c>
      <c r="V37" s="3" t="n">
        <f aca="false">CONFIG!$C$6/100</f>
        <v>0.8</v>
      </c>
      <c r="W37" s="3" t="n">
        <f aca="false">CONFIG!$C$6/100</f>
        <v>0.8</v>
      </c>
      <c r="X37" s="3" t="n">
        <f aca="false">CONFIG!$C$6/100</f>
        <v>0.8</v>
      </c>
      <c r="Y37" s="3" t="n">
        <f aca="false">CONFIG!$C$6/100</f>
        <v>0.8</v>
      </c>
      <c r="Z37" s="3" t="n">
        <f aca="false">CONFIG!$C$6/100</f>
        <v>0.8</v>
      </c>
      <c r="AA37" s="3" t="n">
        <f aca="false">CONFIG!$C$6/100</f>
        <v>0.8</v>
      </c>
      <c r="AB37" s="3" t="n">
        <f aca="false">CONFIG!$C$6/100</f>
        <v>0.8</v>
      </c>
      <c r="AC37" s="3" t="n">
        <f aca="false">CONFIG!$C$6/100</f>
        <v>0.8</v>
      </c>
      <c r="AD37" s="3" t="n">
        <f aca="false">CONFIG!$C$6/100</f>
        <v>0.8</v>
      </c>
      <c r="AE37" s="3" t="n">
        <f aca="false">CONFIG!$C$6/100</f>
        <v>0.8</v>
      </c>
      <c r="AF37" s="3" t="n">
        <f aca="false">CONFIG!$C$6/100</f>
        <v>0.8</v>
      </c>
      <c r="AG37" s="3" t="n">
        <f aca="false">CONFIG!$C$6/100</f>
        <v>0.8</v>
      </c>
      <c r="AH37" s="3"/>
      <c r="AI37" s="3"/>
      <c r="AJ37" s="3"/>
      <c r="AK37" s="3"/>
      <c r="AL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customFormat="false" ht="15.75" hidden="false" customHeight="true" outlineLevel="0" collapsed="false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</row>
    <row r="62" customFormat="false" ht="15.75" hidden="false" customHeight="true" outlineLevel="0" collapsed="false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</row>
    <row r="63" customFormat="false" ht="15.75" hidden="false" customHeight="true" outlineLevel="0" collapsed="false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</row>
    <row r="64" customFormat="false" ht="15.75" hidden="false" customHeight="true" outlineLevel="0" collapsed="false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</row>
    <row r="65" customFormat="false" ht="15.75" hidden="false" customHeight="true" outlineLevel="0" collapsed="false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</row>
    <row r="66" customFormat="false" ht="15.75" hidden="false" customHeight="true" outlineLevel="0" collapsed="false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</row>
    <row r="67" customFormat="false" ht="15.75" hidden="false" customHeight="true" outlineLevel="0" collapsed="false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</row>
    <row r="68" customFormat="false" ht="15.75" hidden="false" customHeight="true" outlineLevel="0" collapsed="false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</row>
    <row r="69" customFormat="false" ht="15.75" hidden="false" customHeight="true" outlineLevel="0" collapsed="false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</row>
    <row r="70" customFormat="false" ht="15.75" hidden="false" customHeight="true" outlineLevel="0" collapsed="false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</row>
    <row r="71" customFormat="false" ht="15.75" hidden="false" customHeight="true" outlineLevel="0" collapsed="false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</row>
    <row r="72" customFormat="false" ht="15.75" hidden="false" customHeight="true" outlineLevel="0" collapsed="false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</row>
    <row r="73" customFormat="false" ht="15.75" hidden="false" customHeight="true" outlineLevel="0" collapsed="false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</row>
    <row r="74" customFormat="false" ht="15.75" hidden="false" customHeight="true" outlineLevel="0" collapsed="false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</row>
    <row r="75" customFormat="false" ht="15.75" hidden="false" customHeight="true" outlineLevel="0" collapsed="false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</row>
    <row r="76" customFormat="false" ht="15.75" hidden="false" customHeight="true" outlineLevel="0" collapsed="false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</row>
    <row r="77" customFormat="false" ht="15.75" hidden="false" customHeight="true" outlineLevel="0" collapsed="false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</row>
    <row r="78" customFormat="false" ht="15.75" hidden="false" customHeight="true" outlineLevel="0" collapsed="false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</row>
    <row r="79" customFormat="false" ht="15.75" hidden="false" customHeight="true" outlineLevel="0" collapsed="false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</row>
    <row r="80" customFormat="false" ht="15.75" hidden="false" customHeight="true" outlineLevel="0" collapsed="false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</row>
    <row r="81" customFormat="false" ht="15.75" hidden="false" customHeight="true" outlineLevel="0" collapsed="false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</row>
    <row r="82" customFormat="false" ht="15.75" hidden="false" customHeight="true" outlineLevel="0" collapsed="false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</row>
    <row r="83" customFormat="false" ht="15.75" hidden="false" customHeight="true" outlineLevel="0" collapsed="false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</row>
    <row r="84" customFormat="false" ht="15.75" hidden="false" customHeight="true" outlineLevel="0" collapsed="false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</row>
    <row r="85" customFormat="false" ht="15.75" hidden="false" customHeight="true" outlineLevel="0" collapsed="false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</row>
    <row r="86" customFormat="false" ht="15.75" hidden="false" customHeight="true" outlineLevel="0" collapsed="false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</row>
    <row r="87" customFormat="false" ht="15.75" hidden="false" customHeight="true" outlineLevel="0" collapsed="false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</row>
    <row r="88" customFormat="false" ht="15.75" hidden="false" customHeight="true" outlineLevel="0" collapsed="false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</row>
    <row r="89" customFormat="false" ht="15.75" hidden="false" customHeight="true" outlineLevel="0" collapsed="false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</row>
    <row r="90" customFormat="false" ht="15.75" hidden="false" customHeight="true" outlineLevel="0" collapsed="false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</row>
    <row r="91" customFormat="false" ht="15.75" hidden="false" customHeight="true" outlineLevel="0" collapsed="false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</row>
    <row r="92" customFormat="false" ht="15.75" hidden="false" customHeight="true" outlineLevel="0" collapsed="false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</row>
    <row r="93" customFormat="false" ht="15.75" hidden="false" customHeight="true" outlineLevel="0" collapsed="false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</row>
    <row r="94" customFormat="false" ht="15.75" hidden="false" customHeight="true" outlineLevel="0" collapsed="false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</row>
    <row r="95" customFormat="false" ht="15.75" hidden="false" customHeight="true" outlineLevel="0" collapsed="false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</row>
    <row r="96" customFormat="false" ht="15.75" hidden="false" customHeight="true" outlineLevel="0" collapsed="false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</row>
    <row r="97" customFormat="false" ht="15.75" hidden="false" customHeight="true" outlineLevel="0" collapsed="false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</row>
    <row r="98" customFormat="false" ht="15.75" hidden="false" customHeight="true" outlineLevel="0" collapsed="false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</row>
    <row r="99" customFormat="false" ht="15.75" hidden="false" customHeight="true" outlineLevel="0" collapsed="false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</row>
    <row r="100" customFormat="false" ht="15.75" hidden="false" customHeight="true" outlineLevel="0" collapsed="false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</row>
  </sheetData>
  <mergeCells count="15">
    <mergeCell ref="A1:AK1"/>
    <mergeCell ref="A2:AK2"/>
    <mergeCell ref="B3:D3"/>
    <mergeCell ref="E3:G3"/>
    <mergeCell ref="H3:J3"/>
    <mergeCell ref="K3:M3"/>
    <mergeCell ref="N3:P3"/>
    <mergeCell ref="B4:D6"/>
    <mergeCell ref="E4:G6"/>
    <mergeCell ref="H4:J6"/>
    <mergeCell ref="K4:M6"/>
    <mergeCell ref="N4:P6"/>
    <mergeCell ref="Q4:AK6"/>
    <mergeCell ref="A27:AK27"/>
    <mergeCell ref="A28:AK32"/>
  </mergeCells>
  <conditionalFormatting sqref="C22:AG22">
    <cfRule type="colorScale" priority="2">
      <colorScale>
        <cfvo type="formula" val="1"/>
        <cfvo type="formula" val="5"/>
        <cfvo type="formula" val="10"/>
        <color rgb="FFFF8B9E"/>
        <color rgb="FFF4D35E"/>
        <color rgb="FF86E3A5"/>
      </colorScale>
    </cfRule>
  </conditionalFormatting>
  <conditionalFormatting sqref="C23:AG23">
    <cfRule type="expression" priority="3" aboveAverage="0" equalAverage="0" bottom="0" percent="0" rank="0" text="" dxfId="0">
      <formula>C23="SI"</formula>
    </cfRule>
    <cfRule type="expression" priority="4" aboveAverage="0" equalAverage="0" bottom="0" percent="0" rank="0" text="" dxfId="1">
      <formula>C23="NO"</formula>
    </cfRule>
  </conditionalFormatting>
  <conditionalFormatting sqref="C10:AG19">
    <cfRule type="cellIs" priority="5" operator="equal" aboveAverage="0" equalAverage="0" bottom="0" percent="0" rank="0" text="" dxfId="2">
      <formula>1</formula>
    </cfRule>
    <cfRule type="cellIs" priority="6" operator="equal" aboveAverage="0" equalAverage="0" bottom="0" percent="0" rank="0" text="" dxfId="3">
      <formula>0</formula>
    </cfRule>
  </conditionalFormatting>
  <dataValidations count="3">
    <dataValidation allowBlank="true" errorStyle="stop" operator="between" showDropDown="false" showErrorMessage="false" showInputMessage="false" sqref="C22:AG22" type="list">
      <formula1>"1,2,3,4,5,6,7,8,9,10"</formula1>
      <formula2>0</formula2>
    </dataValidation>
    <dataValidation allowBlank="true" errorStyle="stop" operator="between" showDropDown="false" showErrorMessage="false" showInputMessage="false" sqref="C23:AG23" type="list">
      <formula1>"SI,NO"</formula1>
      <formula2>0</formula2>
    </dataValidation>
    <dataValidation allowBlank="true" error="Elegí 1 para marcar el hábito como cumplido, o dejá vacío." errorStyle="stop" errorTitle="Valor no válido" operator="between" prompt="Tocá la flechita y elegí 1 para marcar el día como cumplido." promptTitle="Marcar hábito" showDropDown="false" showErrorMessage="false" showInputMessage="false" sqref="C10:AG19" type="list">
      <formula1>"1"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A6"/>
    <pageSetUpPr fitToPage="false"/>
  </sheetPr>
  <dimension ref="A1:V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1" width="15.57"/>
    <col collapsed="false" customWidth="true" hidden="false" outlineLevel="0" max="3" min="3" style="1" width="4"/>
    <col collapsed="false" customWidth="true" hidden="false" outlineLevel="0" max="4" min="4" style="1" width="2.14"/>
    <col collapsed="false" customWidth="true" hidden="false" outlineLevel="0" max="5" min="5" style="1" width="15.57"/>
    <col collapsed="false" customWidth="true" hidden="false" outlineLevel="0" max="6" min="6" style="1" width="4"/>
    <col collapsed="false" customWidth="true" hidden="false" outlineLevel="0" max="7" min="7" style="1" width="2.14"/>
    <col collapsed="false" customWidth="true" hidden="false" outlineLevel="0" max="8" min="8" style="1" width="15.57"/>
    <col collapsed="false" customWidth="true" hidden="false" outlineLevel="0" max="9" min="9" style="1" width="4"/>
    <col collapsed="false" customWidth="true" hidden="false" outlineLevel="0" max="10" min="10" style="1" width="2.14"/>
    <col collapsed="false" customWidth="true" hidden="false" outlineLevel="0" max="11" min="11" style="1" width="15.57"/>
    <col collapsed="false" customWidth="true" hidden="false" outlineLevel="0" max="12" min="12" style="1" width="4"/>
    <col collapsed="false" customWidth="true" hidden="false" outlineLevel="0" max="13" min="13" style="1" width="2.14"/>
    <col collapsed="false" customWidth="true" hidden="false" outlineLevel="0" max="14" min="14" style="1" width="15.57"/>
    <col collapsed="false" customWidth="true" hidden="false" outlineLevel="0" max="15" min="15" style="1" width="4"/>
    <col collapsed="false" customWidth="true" hidden="false" outlineLevel="0" max="16" min="16" style="1" width="2.14"/>
    <col collapsed="false" customWidth="true" hidden="false" outlineLevel="0" max="17" min="17" style="1" width="15.57"/>
    <col collapsed="false" customWidth="true" hidden="false" outlineLevel="0" max="18" min="18" style="1" width="4"/>
    <col collapsed="false" customWidth="true" hidden="false" outlineLevel="0" max="19" min="19" style="1" width="2.14"/>
    <col collapsed="false" customWidth="true" hidden="false" outlineLevel="0" max="20" min="20" style="1" width="15.57"/>
    <col collapsed="false" customWidth="true" hidden="false" outlineLevel="0" max="21" min="21" style="1" width="4"/>
    <col collapsed="false" customWidth="true" hidden="false" outlineLevel="0" max="22" min="22" style="1" width="8.71"/>
  </cols>
  <sheetData>
    <row r="1" customFormat="false" ht="15" hidden="false" customHeight="true" outlineLevel="0" collapsed="false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customFormat="false" ht="25.5" hidden="false" customHeight="true" outlineLevel="0" collapsed="false">
      <c r="A2" s="31"/>
      <c r="B2" s="32" t="s">
        <v>21</v>
      </c>
      <c r="C2" s="32"/>
      <c r="D2" s="32"/>
      <c r="E2" s="32"/>
      <c r="F2" s="32"/>
      <c r="G2" s="32"/>
      <c r="H2" s="32"/>
      <c r="I2" s="32"/>
      <c r="J2" s="32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customFormat="false" ht="18" hidden="false" customHeight="true" outlineLevel="0" collapsed="false">
      <c r="A3" s="31"/>
      <c r="B3" s="33" t="str">
        <f aca="false">TEXT(DATE(CONFIG!$C$4,CONFIG!$C$5,1),"mmmm yyyy")&amp;"   ·   elegí la semana para ver el detalle día a día"</f>
        <v>September 2026   ·   elegí la semana para ver el detalle día a día</v>
      </c>
      <c r="C3" s="33"/>
      <c r="D3" s="33"/>
      <c r="E3" s="33"/>
      <c r="F3" s="33"/>
      <c r="G3" s="33"/>
      <c r="H3" s="33"/>
      <c r="I3" s="33"/>
      <c r="J3" s="33"/>
      <c r="K3" s="31"/>
      <c r="L3" s="31"/>
      <c r="M3" s="31"/>
      <c r="N3" s="34"/>
      <c r="O3" s="35"/>
      <c r="P3" s="31"/>
      <c r="Q3" s="31"/>
      <c r="R3" s="31"/>
      <c r="S3" s="31"/>
      <c r="T3" s="34" t="s">
        <v>22</v>
      </c>
      <c r="U3" s="35" t="n">
        <v>1</v>
      </c>
      <c r="V3" s="31"/>
    </row>
    <row r="4" customFormat="false" ht="15" hidden="false" customHeight="true" outlineLevel="0" collapsed="false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customFormat="false" ht="21.75" hidden="false" customHeight="true" outlineLevel="0" collapsed="false">
      <c r="A5" s="31"/>
      <c r="B5" s="36" t="str">
        <f aca="false">UPPER("LUNES "&amp;(($U$3-1)*7+1))</f>
        <v>LUNES 1</v>
      </c>
      <c r="C5" s="36"/>
      <c r="D5" s="31"/>
      <c r="E5" s="36" t="str">
        <f aca="false">UPPER("MARTES "&amp;(($U$3-1)*7+2))</f>
        <v>MARTES 2</v>
      </c>
      <c r="F5" s="36"/>
      <c r="G5" s="31"/>
      <c r="H5" s="36" t="str">
        <f aca="false">UPPER("MIÉRCOLES "&amp;(($U$3-1)*7+3))</f>
        <v>MIÉRCOLES 3</v>
      </c>
      <c r="I5" s="36"/>
      <c r="J5" s="31"/>
      <c r="K5" s="36" t="str">
        <f aca="false">UPPER("JUEVES "&amp;(($U$3-1)*7+4))</f>
        <v>JUEVES 4</v>
      </c>
      <c r="L5" s="36"/>
      <c r="M5" s="31"/>
      <c r="N5" s="36" t="str">
        <f aca="false">UPPER("VIERNES "&amp;(($U$3-1)*7+5))</f>
        <v>VIERNES 5</v>
      </c>
      <c r="O5" s="36"/>
      <c r="P5" s="31"/>
      <c r="Q5" s="36" t="str">
        <f aca="false">UPPER("SÁBADO "&amp;(($U$3-1)*7+6))</f>
        <v>SÁBADO 6</v>
      </c>
      <c r="R5" s="36"/>
      <c r="S5" s="31"/>
      <c r="T5" s="36" t="str">
        <f aca="false">UPPER("DOMINGO "&amp;(($U$3-1)*7+7))</f>
        <v>DOMINGO 7</v>
      </c>
      <c r="U5" s="36"/>
      <c r="V5" s="31"/>
    </row>
    <row r="6" customFormat="false" ht="91.5" hidden="false" customHeight="true" outlineLevel="0" collapsed="false">
      <c r="A6" s="31"/>
      <c r="B6" s="37" t="str">
        <f aca="false">TEXT(A60,"0%")</f>
        <v>10%</v>
      </c>
      <c r="C6" s="37"/>
      <c r="D6" s="31"/>
      <c r="E6" s="37" t="str">
        <f aca="false">TEXT(A61,"0%")</f>
        <v>0%</v>
      </c>
      <c r="F6" s="37"/>
      <c r="G6" s="31"/>
      <c r="H6" s="37" t="str">
        <f aca="false">TEXT(A62,"0%")</f>
        <v>10%</v>
      </c>
      <c r="I6" s="37"/>
      <c r="J6" s="31"/>
      <c r="K6" s="37" t="str">
        <f aca="false">TEXT(A63,"0%")</f>
        <v>0%</v>
      </c>
      <c r="L6" s="37"/>
      <c r="M6" s="31"/>
      <c r="N6" s="37" t="str">
        <f aca="false">TEXT(A64,"0%")</f>
        <v>0%</v>
      </c>
      <c r="O6" s="37"/>
      <c r="P6" s="31"/>
      <c r="Q6" s="37" t="str">
        <f aca="false">TEXT(A65,"0%")</f>
        <v>0%</v>
      </c>
      <c r="R6" s="37"/>
      <c r="S6" s="31"/>
      <c r="T6" s="37" t="str">
        <f aca="false">TEXT(A66,"0%")</f>
        <v>0%</v>
      </c>
      <c r="U6" s="37"/>
      <c r="V6" s="31"/>
    </row>
    <row r="7" customFormat="false" ht="19.5" hidden="false" customHeight="true" outlineLevel="0" collapsed="false">
      <c r="A7" s="31"/>
      <c r="B7" s="38" t="str">
        <f aca="false">ROUND(A60*10,0)&amp;"/10 hábitos"</f>
        <v>1/10 hábitos</v>
      </c>
      <c r="C7" s="38"/>
      <c r="D7" s="31"/>
      <c r="E7" s="38" t="str">
        <f aca="false">ROUND(A61*10,0)&amp;"/10 hábitos"</f>
        <v>0/10 hábitos</v>
      </c>
      <c r="F7" s="38"/>
      <c r="G7" s="31"/>
      <c r="H7" s="38" t="str">
        <f aca="false">ROUND(A62*10,0)&amp;"/10 hábitos"</f>
        <v>1/10 hábitos</v>
      </c>
      <c r="I7" s="38"/>
      <c r="J7" s="31"/>
      <c r="K7" s="38" t="str">
        <f aca="false">ROUND(A63*10,0)&amp;"/10 hábitos"</f>
        <v>0/10 hábitos</v>
      </c>
      <c r="L7" s="38"/>
      <c r="M7" s="31"/>
      <c r="N7" s="38" t="str">
        <f aca="false">ROUND(A64*10,0)&amp;"/10 hábitos"</f>
        <v>0/10 hábitos</v>
      </c>
      <c r="O7" s="38"/>
      <c r="P7" s="31"/>
      <c r="Q7" s="38" t="str">
        <f aca="false">ROUND(A65*10,0)&amp;"/10 hábitos"</f>
        <v>0/10 hábitos</v>
      </c>
      <c r="R7" s="38"/>
      <c r="S7" s="31"/>
      <c r="T7" s="38" t="str">
        <f aca="false">ROUND(A66*10,0)&amp;"/10 hábitos"</f>
        <v>0/10 hábitos</v>
      </c>
      <c r="U7" s="38"/>
      <c r="V7" s="31"/>
    </row>
    <row r="8" customFormat="false" ht="15" hidden="false" customHeight="true" outlineLevel="0" collapsed="false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customFormat="false" ht="18" hidden="false" customHeight="true" outlineLevel="0" collapsed="false">
      <c r="A9" s="31"/>
      <c r="B9" s="39" t="s">
        <v>23</v>
      </c>
      <c r="C9" s="39"/>
      <c r="D9" s="31"/>
      <c r="E9" s="39" t="s">
        <v>23</v>
      </c>
      <c r="F9" s="39"/>
      <c r="G9" s="31"/>
      <c r="H9" s="39" t="s">
        <v>23</v>
      </c>
      <c r="I9" s="39"/>
      <c r="J9" s="31"/>
      <c r="K9" s="39" t="s">
        <v>23</v>
      </c>
      <c r="L9" s="39"/>
      <c r="M9" s="31"/>
      <c r="N9" s="39" t="s">
        <v>23</v>
      </c>
      <c r="O9" s="39"/>
      <c r="P9" s="31"/>
      <c r="Q9" s="39" t="s">
        <v>23</v>
      </c>
      <c r="R9" s="39"/>
      <c r="S9" s="31"/>
      <c r="T9" s="39" t="s">
        <v>23</v>
      </c>
      <c r="U9" s="39"/>
      <c r="V9" s="31"/>
    </row>
    <row r="10" customFormat="false" ht="18.75" hidden="false" customHeight="true" outlineLevel="0" collapsed="false">
      <c r="A10" s="31"/>
      <c r="B10" s="40" t="str">
        <f aca="false">CONFIG!$B$9</f>
        <v>Estudiar</v>
      </c>
      <c r="C10" s="41" t="n">
        <f aca="true">IFERROR(OFFSET(TRACKER!$B$10,0,(($U$3-1)*7+1)),0)</f>
        <v>1</v>
      </c>
      <c r="D10" s="31"/>
      <c r="E10" s="40" t="str">
        <f aca="false">CONFIG!$B$9</f>
        <v>Estudiar</v>
      </c>
      <c r="F10" s="41" t="n">
        <f aca="true">IFERROR(OFFSET(TRACKER!$B$10,0,(($U$3-1)*7+2)),0)</f>
        <v>0</v>
      </c>
      <c r="G10" s="31"/>
      <c r="H10" s="40" t="str">
        <f aca="false">CONFIG!$B$9</f>
        <v>Estudiar</v>
      </c>
      <c r="I10" s="41" t="n">
        <f aca="true">IFERROR(OFFSET(TRACKER!$B$10,0,(($U$3-1)*7+3)),0)</f>
        <v>1</v>
      </c>
      <c r="J10" s="31"/>
      <c r="K10" s="40" t="str">
        <f aca="false">CONFIG!$B$9</f>
        <v>Estudiar</v>
      </c>
      <c r="L10" s="41" t="n">
        <f aca="true">IFERROR(OFFSET(TRACKER!$B$10,0,(($U$3-1)*7+4)),0)</f>
        <v>0</v>
      </c>
      <c r="M10" s="31"/>
      <c r="N10" s="40" t="str">
        <f aca="false">CONFIG!$B$9</f>
        <v>Estudiar</v>
      </c>
      <c r="O10" s="41" t="n">
        <f aca="true">IFERROR(OFFSET(TRACKER!$B$10,0,(($U$3-1)*7+5)),0)</f>
        <v>0</v>
      </c>
      <c r="P10" s="31"/>
      <c r="Q10" s="40" t="str">
        <f aca="false">CONFIG!$B$9</f>
        <v>Estudiar</v>
      </c>
      <c r="R10" s="41" t="n">
        <f aca="true">IFERROR(OFFSET(TRACKER!$B$10,0,(($U$3-1)*7+6)),0)</f>
        <v>0</v>
      </c>
      <c r="S10" s="31"/>
      <c r="T10" s="40" t="str">
        <f aca="false">CONFIG!$B$9</f>
        <v>Estudiar</v>
      </c>
      <c r="U10" s="41" t="n">
        <f aca="true">IFERROR(OFFSET(TRACKER!$B$10,0,(($U$3-1)*7+7)),0)</f>
        <v>0</v>
      </c>
      <c r="V10" s="31"/>
    </row>
    <row r="11" customFormat="false" ht="18.75" hidden="false" customHeight="true" outlineLevel="0" collapsed="false">
      <c r="A11" s="31"/>
      <c r="B11" s="40" t="str">
        <f aca="false">CONFIG!$B$10</f>
        <v>Entrenar</v>
      </c>
      <c r="C11" s="41" t="n">
        <f aca="true">IFERROR(OFFSET(TRACKER!$B$11,0,(($U$3-1)*7+1)),0)</f>
        <v>0</v>
      </c>
      <c r="D11" s="31"/>
      <c r="E11" s="40" t="str">
        <f aca="false">CONFIG!$B$10</f>
        <v>Entrenar</v>
      </c>
      <c r="F11" s="41" t="n">
        <f aca="true">IFERROR(OFFSET(TRACKER!$B$11,0,(($U$3-1)*7+2)),0)</f>
        <v>0</v>
      </c>
      <c r="G11" s="31"/>
      <c r="H11" s="40" t="str">
        <f aca="false">CONFIG!$B$10</f>
        <v>Entrenar</v>
      </c>
      <c r="I11" s="41" t="n">
        <f aca="true">IFERROR(OFFSET(TRACKER!$B$11,0,(($U$3-1)*7+3)),0)</f>
        <v>0</v>
      </c>
      <c r="J11" s="31"/>
      <c r="K11" s="40" t="str">
        <f aca="false">CONFIG!$B$10</f>
        <v>Entrenar</v>
      </c>
      <c r="L11" s="41" t="n">
        <f aca="true">IFERROR(OFFSET(TRACKER!$B$11,0,(($U$3-1)*7+4)),0)</f>
        <v>0</v>
      </c>
      <c r="M11" s="31"/>
      <c r="N11" s="40" t="str">
        <f aca="false">CONFIG!$B$10</f>
        <v>Entrenar</v>
      </c>
      <c r="O11" s="41" t="n">
        <f aca="true">IFERROR(OFFSET(TRACKER!$B$11,0,(($U$3-1)*7+5)),0)</f>
        <v>0</v>
      </c>
      <c r="P11" s="31"/>
      <c r="Q11" s="40" t="str">
        <f aca="false">CONFIG!$B$10</f>
        <v>Entrenar</v>
      </c>
      <c r="R11" s="41" t="n">
        <f aca="true">IFERROR(OFFSET(TRACKER!$B$11,0,(($U$3-1)*7+6)),0)</f>
        <v>0</v>
      </c>
      <c r="S11" s="31"/>
      <c r="T11" s="40" t="str">
        <f aca="false">CONFIG!$B$10</f>
        <v>Entrenar</v>
      </c>
      <c r="U11" s="41" t="n">
        <f aca="true">IFERROR(OFFSET(TRACKER!$B$11,0,(($U$3-1)*7+7)),0)</f>
        <v>0</v>
      </c>
      <c r="V11" s="31"/>
    </row>
    <row r="12" customFormat="false" ht="18.75" hidden="false" customHeight="true" outlineLevel="0" collapsed="false">
      <c r="A12" s="31"/>
      <c r="B12" s="40" t="str">
        <f aca="false">CONFIG!$B$11</f>
        <v>Modulo Inglés</v>
      </c>
      <c r="C12" s="41" t="n">
        <f aca="true">IFERROR(OFFSET(TRACKER!$B$12,0,(($U$3-1)*7+1)),0)</f>
        <v>0</v>
      </c>
      <c r="D12" s="31"/>
      <c r="E12" s="40" t="str">
        <f aca="false">CONFIG!$B$11</f>
        <v>Modulo Inglés</v>
      </c>
      <c r="F12" s="41" t="n">
        <f aca="true">IFERROR(OFFSET(TRACKER!$B$12,0,(($U$3-1)*7+2)),0)</f>
        <v>0</v>
      </c>
      <c r="G12" s="31"/>
      <c r="H12" s="40" t="str">
        <f aca="false">CONFIG!$B$11</f>
        <v>Modulo Inglés</v>
      </c>
      <c r="I12" s="41" t="n">
        <f aca="true">IFERROR(OFFSET(TRACKER!$B$12,0,(($U$3-1)*7+3)),0)</f>
        <v>0</v>
      </c>
      <c r="J12" s="31"/>
      <c r="K12" s="40" t="str">
        <f aca="false">CONFIG!$B$11</f>
        <v>Modulo Inglés</v>
      </c>
      <c r="L12" s="41" t="n">
        <f aca="true">IFERROR(OFFSET(TRACKER!$B$12,0,(($U$3-1)*7+4)),0)</f>
        <v>0</v>
      </c>
      <c r="M12" s="31"/>
      <c r="N12" s="40" t="str">
        <f aca="false">CONFIG!$B$11</f>
        <v>Modulo Inglés</v>
      </c>
      <c r="O12" s="41" t="n">
        <f aca="true">IFERROR(OFFSET(TRACKER!$B$12,0,(($U$3-1)*7+5)),0)</f>
        <v>0</v>
      </c>
      <c r="P12" s="31"/>
      <c r="Q12" s="40" t="str">
        <f aca="false">CONFIG!$B$11</f>
        <v>Modulo Inglés</v>
      </c>
      <c r="R12" s="41" t="n">
        <f aca="true">IFERROR(OFFSET(TRACKER!$B$12,0,(($U$3-1)*7+6)),0)</f>
        <v>0</v>
      </c>
      <c r="S12" s="31"/>
      <c r="T12" s="40" t="str">
        <f aca="false">CONFIG!$B$11</f>
        <v>Modulo Inglés</v>
      </c>
      <c r="U12" s="41" t="n">
        <f aca="true">IFERROR(OFFSET(TRACKER!$B$12,0,(($U$3-1)*7+7)),0)</f>
        <v>0</v>
      </c>
      <c r="V12" s="31"/>
    </row>
    <row r="13" customFormat="false" ht="18.75" hidden="false" customHeight="true" outlineLevel="0" collapsed="false">
      <c r="A13" s="31"/>
      <c r="B13" s="40" t="str">
        <f aca="false">CONFIG!$B$12</f>
        <v>-Flashcards</v>
      </c>
      <c r="C13" s="41" t="n">
        <f aca="true">IFERROR(OFFSET(TRACKER!$B$13,0,(($U$3-1)*7+1)),0)</f>
        <v>0</v>
      </c>
      <c r="D13" s="31"/>
      <c r="E13" s="40" t="str">
        <f aca="false">CONFIG!$B$12</f>
        <v>-Flashcards</v>
      </c>
      <c r="F13" s="41" t="n">
        <f aca="true">IFERROR(OFFSET(TRACKER!$B$13,0,(($U$3-1)*7+2)),0)</f>
        <v>0</v>
      </c>
      <c r="G13" s="31"/>
      <c r="H13" s="40" t="str">
        <f aca="false">CONFIG!$B$12</f>
        <v>-Flashcards</v>
      </c>
      <c r="I13" s="41" t="n">
        <f aca="true">IFERROR(OFFSET(TRACKER!$B$13,0,(($U$3-1)*7+3)),0)</f>
        <v>0</v>
      </c>
      <c r="J13" s="31"/>
      <c r="K13" s="40" t="str">
        <f aca="false">CONFIG!$B$12</f>
        <v>-Flashcards</v>
      </c>
      <c r="L13" s="41" t="n">
        <f aca="true">IFERROR(OFFSET(TRACKER!$B$13,0,(($U$3-1)*7+4)),0)</f>
        <v>0</v>
      </c>
      <c r="M13" s="31"/>
      <c r="N13" s="40" t="str">
        <f aca="false">CONFIG!$B$12</f>
        <v>-Flashcards</v>
      </c>
      <c r="O13" s="41" t="n">
        <f aca="true">IFERROR(OFFSET(TRACKER!$B$13,0,(($U$3-1)*7+5)),0)</f>
        <v>0</v>
      </c>
      <c r="P13" s="31"/>
      <c r="Q13" s="40" t="str">
        <f aca="false">CONFIG!$B$12</f>
        <v>-Flashcards</v>
      </c>
      <c r="R13" s="41" t="n">
        <f aca="true">IFERROR(OFFSET(TRACKER!$B$13,0,(($U$3-1)*7+6)),0)</f>
        <v>0</v>
      </c>
      <c r="S13" s="31"/>
      <c r="T13" s="40" t="str">
        <f aca="false">CONFIG!$B$12</f>
        <v>-Flashcards</v>
      </c>
      <c r="U13" s="41" t="n">
        <f aca="true">IFERROR(OFFSET(TRACKER!$B$13,0,(($U$3-1)*7+7)),0)</f>
        <v>0</v>
      </c>
      <c r="V13" s="31"/>
    </row>
    <row r="14" customFormat="false" ht="18.75" hidden="false" customHeight="true" outlineLevel="0" collapsed="false">
      <c r="A14" s="31"/>
      <c r="B14" s="40" t="str">
        <f aca="false">CONFIG!$B$13</f>
        <v>-Input / idioma</v>
      </c>
      <c r="C14" s="41" t="n">
        <f aca="true">IFERROR(OFFSET(TRACKER!$B$14,0,(($U$3-1)*7+1)),0)</f>
        <v>0</v>
      </c>
      <c r="D14" s="31"/>
      <c r="E14" s="40" t="str">
        <f aca="false">CONFIG!$B$13</f>
        <v>-Input / idioma</v>
      </c>
      <c r="F14" s="41" t="n">
        <f aca="true">IFERROR(OFFSET(TRACKER!$B$14,0,(($U$3-1)*7+2)),0)</f>
        <v>0</v>
      </c>
      <c r="G14" s="31"/>
      <c r="H14" s="40" t="str">
        <f aca="false">CONFIG!$B$13</f>
        <v>-Input / idioma</v>
      </c>
      <c r="I14" s="41" t="n">
        <f aca="true">IFERROR(OFFSET(TRACKER!$B$14,0,(($U$3-1)*7+3)),0)</f>
        <v>0</v>
      </c>
      <c r="J14" s="31"/>
      <c r="K14" s="40" t="str">
        <f aca="false">CONFIG!$B$13</f>
        <v>-Input / idioma</v>
      </c>
      <c r="L14" s="41" t="n">
        <f aca="true">IFERROR(OFFSET(TRACKER!$B$14,0,(($U$3-1)*7+4)),0)</f>
        <v>0</v>
      </c>
      <c r="M14" s="31"/>
      <c r="N14" s="40" t="str">
        <f aca="false">CONFIG!$B$13</f>
        <v>-Input / idioma</v>
      </c>
      <c r="O14" s="41" t="n">
        <f aca="true">IFERROR(OFFSET(TRACKER!$B$14,0,(($U$3-1)*7+5)),0)</f>
        <v>0</v>
      </c>
      <c r="P14" s="31"/>
      <c r="Q14" s="40" t="str">
        <f aca="false">CONFIG!$B$13</f>
        <v>-Input / idioma</v>
      </c>
      <c r="R14" s="41" t="n">
        <f aca="true">IFERROR(OFFSET(TRACKER!$B$14,0,(($U$3-1)*7+6)),0)</f>
        <v>0</v>
      </c>
      <c r="S14" s="31"/>
      <c r="T14" s="40" t="str">
        <f aca="false">CONFIG!$B$13</f>
        <v>-Input / idioma</v>
      </c>
      <c r="U14" s="41" t="n">
        <f aca="true">IFERROR(OFFSET(TRACKER!$B$14,0,(($U$3-1)*7+7)),0)</f>
        <v>0</v>
      </c>
      <c r="V14" s="31"/>
    </row>
    <row r="15" customFormat="false" ht="18.75" hidden="false" customHeight="true" outlineLevel="0" collapsed="false">
      <c r="A15" s="31"/>
      <c r="B15" s="40" t="str">
        <f aca="false">CONFIG!$B$14</f>
        <v>-Lectura english</v>
      </c>
      <c r="C15" s="41" t="n">
        <f aca="true">IFERROR(OFFSET(TRACKER!$B$15,0,(($U$3-1)*7+1)),0)</f>
        <v>0</v>
      </c>
      <c r="D15" s="31"/>
      <c r="E15" s="40" t="str">
        <f aca="false">CONFIG!$B$14</f>
        <v>-Lectura english</v>
      </c>
      <c r="F15" s="41" t="n">
        <f aca="true">IFERROR(OFFSET(TRACKER!$B$15,0,(($U$3-1)*7+2)),0)</f>
        <v>0</v>
      </c>
      <c r="G15" s="31"/>
      <c r="H15" s="40" t="str">
        <f aca="false">CONFIG!$B$14</f>
        <v>-Lectura english</v>
      </c>
      <c r="I15" s="41" t="n">
        <f aca="true">IFERROR(OFFSET(TRACKER!$B$15,0,(($U$3-1)*7+3)),0)</f>
        <v>0</v>
      </c>
      <c r="J15" s="31"/>
      <c r="K15" s="40" t="str">
        <f aca="false">CONFIG!$B$14</f>
        <v>-Lectura english</v>
      </c>
      <c r="L15" s="41" t="n">
        <f aca="true">IFERROR(OFFSET(TRACKER!$B$15,0,(($U$3-1)*7+4)),0)</f>
        <v>0</v>
      </c>
      <c r="M15" s="31"/>
      <c r="N15" s="40" t="str">
        <f aca="false">CONFIG!$B$14</f>
        <v>-Lectura english</v>
      </c>
      <c r="O15" s="41" t="n">
        <f aca="true">IFERROR(OFFSET(TRACKER!$B$15,0,(($U$3-1)*7+5)),0)</f>
        <v>0</v>
      </c>
      <c r="P15" s="31"/>
      <c r="Q15" s="40" t="str">
        <f aca="false">CONFIG!$B$14</f>
        <v>-Lectura english</v>
      </c>
      <c r="R15" s="41" t="n">
        <f aca="true">IFERROR(OFFSET(TRACKER!$B$15,0,(($U$3-1)*7+6)),0)</f>
        <v>0</v>
      </c>
      <c r="S15" s="31"/>
      <c r="T15" s="40" t="str">
        <f aca="false">CONFIG!$B$14</f>
        <v>-Lectura english</v>
      </c>
      <c r="U15" s="41" t="n">
        <f aca="true">IFERROR(OFFSET(TRACKER!$B$15,0,(($U$3-1)*7+7)),0)</f>
        <v>0</v>
      </c>
      <c r="V15" s="31"/>
    </row>
    <row r="16" customFormat="false" ht="18.75" hidden="false" customHeight="true" outlineLevel="0" collapsed="false">
      <c r="A16" s="31"/>
      <c r="B16" s="40" t="str">
        <f aca="false">CONFIG!$B$15</f>
        <v>-Grammar</v>
      </c>
      <c r="C16" s="41" t="n">
        <f aca="true">IFERROR(OFFSET(TRACKER!$B$16,0,(($U$3-1)*7+1)),0)</f>
        <v>0</v>
      </c>
      <c r="D16" s="31"/>
      <c r="E16" s="40" t="str">
        <f aca="false">CONFIG!$B$15</f>
        <v>-Grammar</v>
      </c>
      <c r="F16" s="41" t="n">
        <f aca="true">IFERROR(OFFSET(TRACKER!$B$16,0,(($U$3-1)*7+2)),0)</f>
        <v>0</v>
      </c>
      <c r="G16" s="31"/>
      <c r="H16" s="40" t="str">
        <f aca="false">CONFIG!$B$15</f>
        <v>-Grammar</v>
      </c>
      <c r="I16" s="41" t="n">
        <f aca="true">IFERROR(OFFSET(TRACKER!$B$16,0,(($U$3-1)*7+3)),0)</f>
        <v>0</v>
      </c>
      <c r="J16" s="31"/>
      <c r="K16" s="40" t="str">
        <f aca="false">CONFIG!$B$15</f>
        <v>-Grammar</v>
      </c>
      <c r="L16" s="41" t="n">
        <f aca="true">IFERROR(OFFSET(TRACKER!$B$16,0,(($U$3-1)*7+4)),0)</f>
        <v>0</v>
      </c>
      <c r="M16" s="31"/>
      <c r="N16" s="40" t="str">
        <f aca="false">CONFIG!$B$15</f>
        <v>-Grammar</v>
      </c>
      <c r="O16" s="41" t="n">
        <f aca="true">IFERROR(OFFSET(TRACKER!$B$16,0,(($U$3-1)*7+5)),0)</f>
        <v>0</v>
      </c>
      <c r="P16" s="31"/>
      <c r="Q16" s="40" t="str">
        <f aca="false">CONFIG!$B$15</f>
        <v>-Grammar</v>
      </c>
      <c r="R16" s="41" t="n">
        <f aca="true">IFERROR(OFFSET(TRACKER!$B$16,0,(($U$3-1)*7+6)),0)</f>
        <v>0</v>
      </c>
      <c r="S16" s="31"/>
      <c r="T16" s="40" t="str">
        <f aca="false">CONFIG!$B$15</f>
        <v>-Grammar</v>
      </c>
      <c r="U16" s="41" t="n">
        <f aca="true">IFERROR(OFFSET(TRACKER!$B$16,0,(($U$3-1)*7+7)),0)</f>
        <v>0</v>
      </c>
      <c r="V16" s="31"/>
    </row>
    <row r="17" customFormat="false" ht="18.75" hidden="false" customHeight="true" outlineLevel="0" collapsed="false">
      <c r="A17" s="31"/>
      <c r="B17" s="40" t="str">
        <f aca="false">CONFIG!$B$16</f>
        <v>-Input Gamer</v>
      </c>
      <c r="C17" s="41" t="n">
        <f aca="true">IFERROR(OFFSET(TRACKER!$B$17,0,(($U$3-1)*7+1)),0)</f>
        <v>0</v>
      </c>
      <c r="D17" s="31"/>
      <c r="E17" s="40" t="str">
        <f aca="false">CONFIG!$B$16</f>
        <v>-Input Gamer</v>
      </c>
      <c r="F17" s="41" t="n">
        <f aca="true">IFERROR(OFFSET(TRACKER!$B$17,0,(($U$3-1)*7+2)),0)</f>
        <v>0</v>
      </c>
      <c r="G17" s="31"/>
      <c r="H17" s="40" t="str">
        <f aca="false">CONFIG!$B$16</f>
        <v>-Input Gamer</v>
      </c>
      <c r="I17" s="41" t="n">
        <f aca="true">IFERROR(OFFSET(TRACKER!$B$17,0,(($U$3-1)*7+3)),0)</f>
        <v>0</v>
      </c>
      <c r="J17" s="31"/>
      <c r="K17" s="40" t="str">
        <f aca="false">CONFIG!$B$16</f>
        <v>-Input Gamer</v>
      </c>
      <c r="L17" s="41" t="n">
        <f aca="true">IFERROR(OFFSET(TRACKER!$B$17,0,(($U$3-1)*7+4)),0)</f>
        <v>0</v>
      </c>
      <c r="M17" s="31"/>
      <c r="N17" s="40" t="str">
        <f aca="false">CONFIG!$B$16</f>
        <v>-Input Gamer</v>
      </c>
      <c r="O17" s="41" t="n">
        <f aca="true">IFERROR(OFFSET(TRACKER!$B$17,0,(($U$3-1)*7+5)),0)</f>
        <v>0</v>
      </c>
      <c r="P17" s="31"/>
      <c r="Q17" s="40" t="str">
        <f aca="false">CONFIG!$B$16</f>
        <v>-Input Gamer</v>
      </c>
      <c r="R17" s="41" t="n">
        <f aca="true">IFERROR(OFFSET(TRACKER!$B$17,0,(($U$3-1)*7+6)),0)</f>
        <v>0</v>
      </c>
      <c r="S17" s="31"/>
      <c r="T17" s="40" t="str">
        <f aca="false">CONFIG!$B$16</f>
        <v>-Input Gamer</v>
      </c>
      <c r="U17" s="41" t="n">
        <f aca="true">IFERROR(OFFSET(TRACKER!$B$17,0,(($U$3-1)*7+7)),0)</f>
        <v>0</v>
      </c>
      <c r="V17" s="31"/>
    </row>
    <row r="18" customFormat="false" ht="18.75" hidden="false" customHeight="true" outlineLevel="0" collapsed="false">
      <c r="A18" s="31"/>
      <c r="B18" s="40" t="str">
        <f aca="false">CONFIG!$B$17</f>
        <v>Leer 1h</v>
      </c>
      <c r="C18" s="41" t="n">
        <f aca="true">IFERROR(OFFSET(TRACKER!$B$18,0,(($U$3-1)*7+1)),0)</f>
        <v>0</v>
      </c>
      <c r="D18" s="31"/>
      <c r="E18" s="40" t="str">
        <f aca="false">CONFIG!$B$17</f>
        <v>Leer 1h</v>
      </c>
      <c r="F18" s="41" t="n">
        <f aca="true">IFERROR(OFFSET(TRACKER!$B$18,0,(($U$3-1)*7+2)),0)</f>
        <v>0</v>
      </c>
      <c r="G18" s="31"/>
      <c r="H18" s="40" t="str">
        <f aca="false">CONFIG!$B$17</f>
        <v>Leer 1h</v>
      </c>
      <c r="I18" s="41" t="n">
        <f aca="true">IFERROR(OFFSET(TRACKER!$B$18,0,(($U$3-1)*7+3)),0)</f>
        <v>0</v>
      </c>
      <c r="J18" s="31"/>
      <c r="K18" s="40" t="str">
        <f aca="false">CONFIG!$B$17</f>
        <v>Leer 1h</v>
      </c>
      <c r="L18" s="41" t="n">
        <f aca="true">IFERROR(OFFSET(TRACKER!$B$18,0,(($U$3-1)*7+4)),0)</f>
        <v>0</v>
      </c>
      <c r="M18" s="31"/>
      <c r="N18" s="40" t="str">
        <f aca="false">CONFIG!$B$17</f>
        <v>Leer 1h</v>
      </c>
      <c r="O18" s="41" t="n">
        <f aca="true">IFERROR(OFFSET(TRACKER!$B$18,0,(($U$3-1)*7+5)),0)</f>
        <v>0</v>
      </c>
      <c r="P18" s="31"/>
      <c r="Q18" s="40" t="str">
        <f aca="false">CONFIG!$B$17</f>
        <v>Leer 1h</v>
      </c>
      <c r="R18" s="41" t="n">
        <f aca="true">IFERROR(OFFSET(TRACKER!$B$18,0,(($U$3-1)*7+6)),0)</f>
        <v>0</v>
      </c>
      <c r="S18" s="31"/>
      <c r="T18" s="40" t="str">
        <f aca="false">CONFIG!$B$17</f>
        <v>Leer 1h</v>
      </c>
      <c r="U18" s="41" t="n">
        <f aca="true">IFERROR(OFFSET(TRACKER!$B$18,0,(($U$3-1)*7+7)),0)</f>
        <v>0</v>
      </c>
      <c r="V18" s="31"/>
    </row>
    <row r="19" customFormat="false" ht="18.75" hidden="false" customHeight="true" outlineLevel="0" collapsed="false">
      <c r="A19" s="31"/>
      <c r="B19" s="40" t="str">
        <f aca="false">CONFIG!$B$18</f>
        <v>Mindfulness</v>
      </c>
      <c r="C19" s="41" t="n">
        <f aca="true">IFERROR(OFFSET(TRACKER!$B$19,0,(($U$3-1)*7+1)),0)</f>
        <v>0</v>
      </c>
      <c r="D19" s="31"/>
      <c r="E19" s="40" t="str">
        <f aca="false">CONFIG!$B$18</f>
        <v>Mindfulness</v>
      </c>
      <c r="F19" s="41" t="n">
        <f aca="true">IFERROR(OFFSET(TRACKER!$B$19,0,(($U$3-1)*7+2)),0)</f>
        <v>0</v>
      </c>
      <c r="G19" s="31"/>
      <c r="H19" s="40" t="str">
        <f aca="false">CONFIG!$B$18</f>
        <v>Mindfulness</v>
      </c>
      <c r="I19" s="41" t="n">
        <f aca="true">IFERROR(OFFSET(TRACKER!$B$19,0,(($U$3-1)*7+3)),0)</f>
        <v>0</v>
      </c>
      <c r="J19" s="31"/>
      <c r="K19" s="40" t="str">
        <f aca="false">CONFIG!$B$18</f>
        <v>Mindfulness</v>
      </c>
      <c r="L19" s="41" t="n">
        <f aca="true">IFERROR(OFFSET(TRACKER!$B$19,0,(($U$3-1)*7+4)),0)</f>
        <v>0</v>
      </c>
      <c r="M19" s="31"/>
      <c r="N19" s="40" t="str">
        <f aca="false">CONFIG!$B$18</f>
        <v>Mindfulness</v>
      </c>
      <c r="O19" s="41" t="n">
        <f aca="true">IFERROR(OFFSET(TRACKER!$B$19,0,(($U$3-1)*7+5)),0)</f>
        <v>0</v>
      </c>
      <c r="P19" s="31"/>
      <c r="Q19" s="40" t="str">
        <f aca="false">CONFIG!$B$18</f>
        <v>Mindfulness</v>
      </c>
      <c r="R19" s="41" t="n">
        <f aca="true">IFERROR(OFFSET(TRACKER!$B$19,0,(($U$3-1)*7+6)),0)</f>
        <v>0</v>
      </c>
      <c r="S19" s="31"/>
      <c r="T19" s="40" t="str">
        <f aca="false">CONFIG!$B$18</f>
        <v>Mindfulness</v>
      </c>
      <c r="U19" s="41" t="n">
        <f aca="true">IFERROR(OFFSET(TRACKER!$B$19,0,(($U$3-1)*7+7)),0)</f>
        <v>0</v>
      </c>
      <c r="V19" s="31"/>
    </row>
    <row r="20" customFormat="false" ht="24" hidden="false" customHeight="true" outlineLevel="0" collapsed="false">
      <c r="A20" s="31"/>
      <c r="B20" s="42" t="str">
        <f aca="false">IF(A60&gt;=CONFIG!$C$6/100,"✓ Día óptimo","En proceso")</f>
        <v>En proceso</v>
      </c>
      <c r="C20" s="42"/>
      <c r="D20" s="31"/>
      <c r="E20" s="42" t="str">
        <f aca="false">IF(A61&gt;=CONFIG!$C$6/100,"✓ Día óptimo","En proceso")</f>
        <v>En proceso</v>
      </c>
      <c r="F20" s="42"/>
      <c r="G20" s="31"/>
      <c r="H20" s="42" t="str">
        <f aca="false">IF(A62&gt;=CONFIG!$C$6/100,"✓ Día óptimo","En proceso")</f>
        <v>En proceso</v>
      </c>
      <c r="I20" s="42"/>
      <c r="J20" s="31"/>
      <c r="K20" s="42" t="str">
        <f aca="false">IF(A63&gt;=CONFIG!$C$6/100,"✓ Día óptimo","En proceso")</f>
        <v>En proceso</v>
      </c>
      <c r="L20" s="42"/>
      <c r="M20" s="31"/>
      <c r="N20" s="42" t="str">
        <f aca="false">IF(A64&gt;=CONFIG!$C$6/100,"✓ Día óptimo","En proceso")</f>
        <v>En proceso</v>
      </c>
      <c r="O20" s="42"/>
      <c r="P20" s="31"/>
      <c r="Q20" s="42" t="str">
        <f aca="false">IF(A65&gt;=CONFIG!$C$6/100,"✓ Día óptimo","En proceso")</f>
        <v>En proceso</v>
      </c>
      <c r="R20" s="42"/>
      <c r="S20" s="31"/>
      <c r="T20" s="42" t="str">
        <f aca="false">IF(A66&gt;=CONFIG!$C$6/100,"✓ Día óptimo","En proceso")</f>
        <v>En proceso</v>
      </c>
      <c r="U20" s="42"/>
      <c r="V20" s="31"/>
    </row>
    <row r="21" customFormat="false" ht="15.75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customFormat="false" ht="15.75" hidden="false" customHeight="true" outlineLevel="0" collapsed="false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customFormat="false" ht="15.75" hidden="false" customHeight="true" outlineLevel="0" collapsed="false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customFormat="false" ht="15.75" hidden="false" customHeight="true" outlineLevel="0" collapsed="false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customFormat="false" ht="15.75" hidden="false" customHeight="true" outlineLevel="0" collapsed="false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customFormat="false" ht="15.75" hidden="false" customHeight="true" outlineLevel="0" collapsed="false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customFormat="false" ht="15.75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customFormat="false" ht="15.75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customFormat="false" ht="15.75" hidden="false" customHeight="true" outlineLevel="0" collapsed="false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customFormat="false" ht="15.75" hidden="false" customHeight="true" outlineLevel="0" collapsed="false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customFormat="false" ht="15.75" hidden="false" customHeight="true" outlineLevel="0" collapsed="false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customFormat="false" ht="15.75" hidden="false" customHeight="true" outlineLevel="0" collapsed="false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customFormat="false" ht="15.75" hidden="false" customHeight="true" outlineLevel="0" collapsed="false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 customFormat="false" ht="15.75" hidden="false" customHeight="tru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</row>
    <row r="35" customFormat="false" ht="15.75" hidden="false" customHeight="tru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</row>
    <row r="36" customFormat="false" ht="15.75" hidden="false" customHeight="tru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</row>
    <row r="37" customFormat="false" ht="15.75" hidden="false" customHeight="true" outlineLevel="0" collapsed="false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 customFormat="false" ht="15.75" hidden="false" customHeight="true" outlineLevel="0" collapsed="false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39" customFormat="false" ht="15.75" hidden="false" customHeight="true" outlineLevel="0" collapsed="false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</row>
    <row r="40" customFormat="false" ht="15.75" hidden="false" customHeight="true" outlineLevel="0" collapsed="false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</row>
    <row r="41" customFormat="false" ht="15.75" hidden="false" customHeight="true" outlineLevel="0" collapsed="false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</row>
    <row r="42" customFormat="false" ht="15.75" hidden="false" customHeight="true" outlineLevel="0" collapsed="false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</row>
    <row r="43" customFormat="false" ht="15.75" hidden="false" customHeight="true" outlineLevel="0" collapsed="false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</row>
    <row r="44" customFormat="false" ht="15.75" hidden="false" customHeight="true" outlineLevel="0" collapsed="false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</row>
    <row r="45" customFormat="false" ht="15.75" hidden="false" customHeight="true" outlineLevel="0" collapsed="false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</row>
    <row r="46" customFormat="false" ht="15.75" hidden="false" customHeight="true" outlineLevel="0" collapsed="false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</row>
    <row r="47" customFormat="false" ht="15.75" hidden="false" customHeight="true" outlineLevel="0" collapsed="false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</row>
    <row r="48" customFormat="false" ht="15.75" hidden="false" customHeight="true" outlineLevel="0" collapsed="false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</row>
    <row r="49" customFormat="false" ht="15.75" hidden="false" customHeight="true" outlineLevel="0" collapsed="false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</row>
    <row r="50" customFormat="false" ht="15.75" hidden="false" customHeight="true" outlineLevel="0" collapsed="false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</row>
    <row r="51" customFormat="false" ht="15.75" hidden="false" customHeight="true" outlineLevel="0" collapsed="false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</row>
    <row r="52" customFormat="false" ht="15.75" hidden="false" customHeight="true" outlineLevel="0" collapsed="false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</row>
    <row r="53" customFormat="false" ht="15.75" hidden="false" customHeight="true" outlineLevel="0" collapsed="false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</row>
    <row r="54" customFormat="false" ht="15.75" hidden="false" customHeight="true" outlineLevel="0" collapsed="false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</row>
    <row r="55" customFormat="false" ht="15.75" hidden="false" customHeight="true" outlineLevel="0" collapsed="false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</row>
    <row r="56" customFormat="false" ht="15.75" hidden="false" customHeight="true" outlineLevel="0" collapsed="false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</row>
    <row r="57" customFormat="false" ht="15.75" hidden="false" customHeight="true" outlineLevel="0" collapsed="false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</row>
    <row r="58" customFormat="false" ht="15.75" hidden="false" customHeight="true" outlineLevel="0" collapsed="false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</row>
    <row r="59" customFormat="false" ht="15.75" hidden="false" customHeight="true" outlineLevel="0" collapsed="false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</row>
    <row r="60" customFormat="false" ht="15.75" hidden="true" customHeight="true" outlineLevel="0" collapsed="false">
      <c r="A60" s="30" t="n">
        <f aca="true">IFERROR(OFFSET(TRACKER!$B$36,0,(($U$3-1)*7+1)),0)</f>
        <v>0.1</v>
      </c>
      <c r="B60" s="30" t="n">
        <f aca="false">1-A60</f>
        <v>0.9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</row>
    <row r="61" customFormat="false" ht="15.75" hidden="true" customHeight="true" outlineLevel="0" collapsed="false">
      <c r="A61" s="30" t="n">
        <f aca="true">IFERROR(OFFSET(TRACKER!$B$36,0,(($U$3-1)*7+2)),0)</f>
        <v>0</v>
      </c>
      <c r="B61" s="30" t="n">
        <f aca="false">1-A61</f>
        <v>1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</row>
    <row r="62" customFormat="false" ht="15.75" hidden="true" customHeight="true" outlineLevel="0" collapsed="false">
      <c r="A62" s="30" t="n">
        <f aca="true">IFERROR(OFFSET(TRACKER!$B$36,0,(($U$3-1)*7+3)),0)</f>
        <v>0.1</v>
      </c>
      <c r="B62" s="30" t="n">
        <f aca="false">1-A62</f>
        <v>0.9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</row>
    <row r="63" customFormat="false" ht="15.75" hidden="true" customHeight="true" outlineLevel="0" collapsed="false">
      <c r="A63" s="30" t="n">
        <f aca="true">IFERROR(OFFSET(TRACKER!$B$36,0,(($U$3-1)*7+4)),0)</f>
        <v>0</v>
      </c>
      <c r="B63" s="30" t="n">
        <f aca="false">1-A63</f>
        <v>1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</row>
    <row r="64" customFormat="false" ht="15.75" hidden="true" customHeight="true" outlineLevel="0" collapsed="false">
      <c r="A64" s="30" t="n">
        <f aca="true">IFERROR(OFFSET(TRACKER!$B$36,0,(($U$3-1)*7+5)),0)</f>
        <v>0</v>
      </c>
      <c r="B64" s="30" t="n">
        <f aca="false">1-A64</f>
        <v>1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</row>
    <row r="65" customFormat="false" ht="15.75" hidden="true" customHeight="true" outlineLevel="0" collapsed="false">
      <c r="A65" s="30" t="n">
        <f aca="true">IFERROR(OFFSET(TRACKER!$B$36,0,(($U$3-1)*7+6)),0)</f>
        <v>0</v>
      </c>
      <c r="B65" s="30" t="n">
        <f aca="false">1-A65</f>
        <v>1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</row>
    <row r="66" customFormat="false" ht="15.75" hidden="true" customHeight="true" outlineLevel="0" collapsed="false">
      <c r="A66" s="30" t="n">
        <f aca="true">IFERROR(OFFSET(TRACKER!$B$36,0,(($U$3-1)*7+7)),0)</f>
        <v>0</v>
      </c>
      <c r="B66" s="30" t="n">
        <f aca="false">1-A66</f>
        <v>1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</row>
    <row r="67" customFormat="false" ht="15.75" hidden="false" customHeight="true" outlineLevel="0" collapsed="false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</row>
    <row r="68" customFormat="false" ht="15.75" hidden="false" customHeight="true" outlineLevel="0" collapsed="false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</row>
    <row r="69" customFormat="false" ht="15.75" hidden="false" customHeight="true" outlineLevel="0" collapsed="false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</row>
    <row r="70" customFormat="false" ht="15.75" hidden="false" customHeight="true" outlineLevel="0" collapsed="false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</row>
    <row r="71" customFormat="false" ht="15.75" hidden="false" customHeight="true" outlineLevel="0" collapsed="false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</row>
    <row r="72" customFormat="false" ht="15.75" hidden="false" customHeight="true" outlineLevel="0" collapsed="false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</row>
    <row r="73" customFormat="false" ht="15.75" hidden="false" customHeight="true" outlineLevel="0" collapsed="false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</row>
    <row r="74" customFormat="false" ht="15.75" hidden="false" customHeight="true" outlineLevel="0" collapsed="false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</row>
    <row r="75" customFormat="false" ht="15.75" hidden="false" customHeight="true" outlineLevel="0" collapsed="false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</row>
    <row r="76" customFormat="false" ht="15.75" hidden="false" customHeight="true" outlineLevel="0" collapsed="false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</row>
    <row r="77" customFormat="false" ht="15.75" hidden="false" customHeight="true" outlineLevel="0" collapsed="false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</row>
    <row r="78" customFormat="false" ht="15.75" hidden="false" customHeight="true" outlineLevel="0" collapsed="false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</row>
    <row r="79" customFormat="false" ht="15.75" hidden="false" customHeight="true" outlineLevel="0" collapsed="false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</row>
    <row r="80" customFormat="false" ht="15.75" hidden="false" customHeight="true" outlineLevel="0" collapsed="false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</row>
    <row r="81" customFormat="false" ht="15.75" hidden="false" customHeight="true" outlineLevel="0" collapsed="false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</row>
    <row r="82" customFormat="false" ht="15.75" hidden="false" customHeight="true" outlineLevel="0" collapsed="false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</row>
    <row r="83" customFormat="false" ht="15.75" hidden="false" customHeight="true" outlineLevel="0" collapsed="false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</row>
    <row r="84" customFormat="false" ht="15.75" hidden="false" customHeight="true" outlineLevel="0" collapsed="false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</row>
    <row r="85" customFormat="false" ht="15.75" hidden="false" customHeight="true" outlineLevel="0" collapsed="false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</row>
    <row r="86" customFormat="false" ht="15.75" hidden="false" customHeight="true" outlineLevel="0" collapsed="false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</row>
    <row r="87" customFormat="false" ht="15.75" hidden="false" customHeight="true" outlineLevel="0" collapsed="false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</row>
    <row r="88" customFormat="false" ht="15.75" hidden="false" customHeight="true" outlineLevel="0" collapsed="false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</row>
    <row r="89" customFormat="false" ht="15.75" hidden="false" customHeight="true" outlineLevel="0" collapsed="false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</row>
    <row r="90" customFormat="false" ht="15.75" hidden="false" customHeight="true" outlineLevel="0" collapsed="false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</row>
    <row r="91" customFormat="false" ht="15.75" hidden="false" customHeight="true" outlineLevel="0" collapsed="false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</row>
    <row r="92" customFormat="false" ht="15.75" hidden="false" customHeight="true" outlineLevel="0" collapsed="false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</row>
    <row r="93" customFormat="false" ht="15.75" hidden="false" customHeight="true" outlineLevel="0" collapsed="false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</row>
    <row r="94" customFormat="false" ht="15.75" hidden="false" customHeight="true" outlineLevel="0" collapsed="false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</row>
    <row r="95" customFormat="false" ht="15.75" hidden="false" customHeight="true" outlineLevel="0" collapsed="false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</row>
    <row r="96" customFormat="false" ht="15.75" hidden="false" customHeight="true" outlineLevel="0" collapsed="false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</row>
    <row r="97" customFormat="false" ht="15.75" hidden="false" customHeight="true" outlineLevel="0" collapsed="false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</row>
    <row r="98" customFormat="false" ht="15.75" hidden="false" customHeight="true" outlineLevel="0" collapsed="false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</row>
    <row r="99" customFormat="false" ht="15.75" hidden="false" customHeight="true" outlineLevel="0" collapsed="false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</row>
    <row r="100" customFormat="false" ht="15.75" hidden="false" customHeight="true" outlineLevel="0" collapsed="false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</row>
  </sheetData>
  <mergeCells count="37">
    <mergeCell ref="B2:J2"/>
    <mergeCell ref="B3:J3"/>
    <mergeCell ref="B5:C5"/>
    <mergeCell ref="E5:F5"/>
    <mergeCell ref="H5:I5"/>
    <mergeCell ref="K5:L5"/>
    <mergeCell ref="N5:O5"/>
    <mergeCell ref="Q5:R5"/>
    <mergeCell ref="T5:U5"/>
    <mergeCell ref="B6:C6"/>
    <mergeCell ref="E6:F6"/>
    <mergeCell ref="H6:I6"/>
    <mergeCell ref="K6:L6"/>
    <mergeCell ref="N6:O6"/>
    <mergeCell ref="Q6:R6"/>
    <mergeCell ref="T6:U6"/>
    <mergeCell ref="B7:C7"/>
    <mergeCell ref="E7:F7"/>
    <mergeCell ref="H7:I7"/>
    <mergeCell ref="K7:L7"/>
    <mergeCell ref="N7:O7"/>
    <mergeCell ref="Q7:R7"/>
    <mergeCell ref="T7:U7"/>
    <mergeCell ref="B9:C9"/>
    <mergeCell ref="E9:F9"/>
    <mergeCell ref="H9:I9"/>
    <mergeCell ref="K9:L9"/>
    <mergeCell ref="N9:O9"/>
    <mergeCell ref="Q9:R9"/>
    <mergeCell ref="T9:U9"/>
    <mergeCell ref="B20:C20"/>
    <mergeCell ref="E20:F20"/>
    <mergeCell ref="H20:I20"/>
    <mergeCell ref="K20:L20"/>
    <mergeCell ref="N20:O20"/>
    <mergeCell ref="Q20:R20"/>
    <mergeCell ref="T20:U20"/>
  </mergeCells>
  <conditionalFormatting sqref="B10:U19">
    <cfRule type="cellIs" priority="2" operator="equal" aboveAverage="0" equalAverage="0" bottom="0" percent="0" rank="0" text="" dxfId="2">
      <formula>1</formula>
    </cfRule>
    <cfRule type="cellIs" priority="3" operator="equal" aboveAverage="0" equalAverage="0" bottom="0" percent="0" rank="0" text="" dxfId="3">
      <formula>0</formula>
    </cfRule>
  </conditionalFormatting>
  <dataValidations count="1">
    <dataValidation allowBlank="true" errorStyle="stop" operator="between" showDropDown="false" showErrorMessage="false" showInputMessage="false" sqref="O3 U3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A6"/>
    <pageSetUpPr fitToPage="true"/>
  </sheetPr>
  <dimension ref="A1:AK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B11" activeCellId="0" sqref="B1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5" min="3" style="1" width="14"/>
    <col collapsed="false" customWidth="true" hidden="false" outlineLevel="0" max="6" min="6" style="1" width="3"/>
    <col collapsed="false" customWidth="true" hidden="false" outlineLevel="0" max="7" min="7" style="1" width="11"/>
    <col collapsed="false" customWidth="true" hidden="false" outlineLevel="0" max="9" min="8" style="1" width="14"/>
    <col collapsed="false" customWidth="true" hidden="false" outlineLevel="0" max="11" min="10" style="1" width="12"/>
    <col collapsed="false" customWidth="true" hidden="false" outlineLevel="0" max="12" min="12" style="1" width="3"/>
    <col collapsed="false" customWidth="true" hidden="false" outlineLevel="0" max="20" min="13" style="1" width="15"/>
    <col collapsed="false" customWidth="true" hidden="true" outlineLevel="0" max="23" min="21" style="1" width="13"/>
    <col collapsed="false" customWidth="true" hidden="false" outlineLevel="0" max="24" min="24" style="1" width="15.57"/>
    <col collapsed="false" customWidth="true" hidden="false" outlineLevel="0" max="25" min="25" style="1" width="2.14"/>
    <col collapsed="false" customWidth="true" hidden="false" outlineLevel="0" max="26" min="26" style="1" width="15.57"/>
    <col collapsed="false" customWidth="true" hidden="false" outlineLevel="0" max="27" min="27" style="1" width="2.14"/>
    <col collapsed="false" customWidth="true" hidden="false" outlineLevel="0" max="28" min="28" style="1" width="15.57"/>
    <col collapsed="false" customWidth="true" hidden="false" outlineLevel="0" max="29" min="29" style="1" width="2.14"/>
    <col collapsed="false" customWidth="true" hidden="false" outlineLevel="0" max="30" min="30" style="1" width="15.57"/>
    <col collapsed="false" customWidth="true" hidden="false" outlineLevel="0" max="31" min="31" style="1" width="2.14"/>
    <col collapsed="false" customWidth="true" hidden="false" outlineLevel="0" max="32" min="32" style="1" width="15.57"/>
    <col collapsed="false" customWidth="true" hidden="false" outlineLevel="0" max="33" min="33" style="1" width="2.14"/>
    <col collapsed="false" customWidth="true" hidden="false" outlineLevel="0" max="34" min="34" style="1" width="15.57"/>
    <col collapsed="false" customWidth="true" hidden="false" outlineLevel="0" max="35" min="35" style="1" width="2.14"/>
    <col collapsed="false" customWidth="true" hidden="false" outlineLevel="0" max="36" min="36" style="1" width="15.57"/>
  </cols>
  <sheetData>
    <row r="1" customFormat="false" ht="1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1"/>
      <c r="AF1" s="31"/>
      <c r="AG1" s="31"/>
      <c r="AH1" s="31"/>
      <c r="AI1" s="31"/>
      <c r="AJ1" s="31"/>
      <c r="AK1" s="1"/>
    </row>
    <row r="2" customFormat="false" ht="28.5" hidden="false" customHeight="true" outlineLevel="0" collapsed="false">
      <c r="A2" s="3"/>
      <c r="B2" s="43" t="s">
        <v>24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3"/>
      <c r="V2" s="3"/>
      <c r="W2" s="3"/>
      <c r="X2" s="3"/>
      <c r="Y2" s="3"/>
      <c r="Z2" s="3"/>
      <c r="AA2" s="3"/>
      <c r="AB2" s="3"/>
      <c r="AC2" s="3"/>
      <c r="AD2" s="3"/>
      <c r="AE2" s="31"/>
      <c r="AF2" s="31"/>
      <c r="AG2" s="31"/>
      <c r="AH2" s="31"/>
      <c r="AI2" s="31"/>
      <c r="AJ2" s="31"/>
      <c r="AK2" s="1"/>
    </row>
    <row r="3" customFormat="false" ht="15" hidden="false" customHeight="true" outlineLevel="0" collapsed="false">
      <c r="A3" s="3"/>
      <c r="B3" s="44" t="str">
        <f aca="false">TEXT(DATE(CONFIG!C4,CONFIG!C5,1),"mmmm yyyy")&amp;"   ·   tus hábitos, de un vistazo"</f>
        <v>September 2026   ·   tus hábitos, de un vistazo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3"/>
      <c r="V3" s="3"/>
      <c r="W3" s="3"/>
      <c r="X3" s="3"/>
      <c r="Y3" s="3"/>
      <c r="Z3" s="3"/>
      <c r="AA3" s="3"/>
      <c r="AB3" s="3"/>
      <c r="AC3" s="3"/>
      <c r="AD3" s="3"/>
      <c r="AE3" s="31"/>
      <c r="AF3" s="31"/>
      <c r="AG3" s="31"/>
      <c r="AH3" s="31"/>
      <c r="AI3" s="31"/>
      <c r="AJ3" s="31"/>
      <c r="AK3" s="1"/>
    </row>
    <row r="4" customFormat="false" ht="15" hidden="false" customHeight="true" outlineLevel="0" collapsed="false">
      <c r="A4" s="3"/>
      <c r="B4" s="5" t="s">
        <v>25</v>
      </c>
      <c r="C4" s="5"/>
      <c r="D4" s="5"/>
      <c r="E4" s="5" t="s">
        <v>3</v>
      </c>
      <c r="F4" s="5"/>
      <c r="G4" s="5"/>
      <c r="H4" s="5" t="s">
        <v>26</v>
      </c>
      <c r="I4" s="5"/>
      <c r="J4" s="5"/>
      <c r="K4" s="5" t="s">
        <v>4</v>
      </c>
      <c r="L4" s="5"/>
      <c r="M4" s="5"/>
      <c r="N4" s="5" t="s">
        <v>5</v>
      </c>
      <c r="O4" s="5"/>
      <c r="P4" s="5"/>
      <c r="Q4" s="5" t="s">
        <v>27</v>
      </c>
      <c r="R4" s="5"/>
      <c r="S4" s="5"/>
      <c r="T4" s="5"/>
      <c r="U4" s="3"/>
      <c r="V4" s="3"/>
      <c r="W4" s="3"/>
      <c r="X4" s="3"/>
      <c r="Y4" s="3"/>
      <c r="Z4" s="3"/>
      <c r="AA4" s="3"/>
      <c r="AB4" s="3"/>
      <c r="AC4" s="3"/>
      <c r="AD4" s="3"/>
      <c r="AE4" s="31"/>
      <c r="AF4" s="31"/>
      <c r="AG4" s="31"/>
      <c r="AH4" s="31"/>
      <c r="AI4" s="31"/>
      <c r="AJ4" s="31"/>
      <c r="AK4" s="1"/>
    </row>
    <row r="5" customFormat="false" ht="15" hidden="false" customHeight="true" outlineLevel="0" collapsed="false">
      <c r="A5" s="3"/>
      <c r="B5" s="45" t="n">
        <f aca="false">IFERROR(AVERAGE(TRACKER!B10:B19),0)</f>
        <v>0.2</v>
      </c>
      <c r="C5" s="45"/>
      <c r="D5" s="45"/>
      <c r="E5" s="46" t="n">
        <f aca="false">IFERROR(SUM(TRACKER!C10:AG19)/(DAY(EOMONTH(DATE(CONFIG!C4,CONFIG!C5,1),0))*10),0)</f>
        <v>0.00666666666666667</v>
      </c>
      <c r="F5" s="46"/>
      <c r="G5" s="46"/>
      <c r="H5" s="47" t="n">
        <f aca="false">COUNTIF(TRACKER!C23:AG23,"SI")</f>
        <v>2</v>
      </c>
      <c r="I5" s="47"/>
      <c r="J5" s="47"/>
      <c r="K5" s="47" t="n">
        <f aca="false">IFERROR(INDEX(TRACKER!C24:AG24,SUMPRODUCT(MAX((TRACKER!C24:AG24&lt;&gt;"")*COLUMN(TRACKER!C24:AG24)))-COLUMN(TRACKER!C24)+1),0)</f>
        <v>1</v>
      </c>
      <c r="L5" s="47"/>
      <c r="M5" s="47"/>
      <c r="N5" s="48" t="n">
        <f aca="false">IFERROR(AVERAGEIF(TRACKER!C22:AG22,"&gt;0",TRACKER!C22:AG22),0)</f>
        <v>6.33333333333333</v>
      </c>
      <c r="O5" s="48"/>
      <c r="P5" s="48"/>
      <c r="Q5" s="47" t="str">
        <f aca="false">IFERROR(INDEX(TRACKER!C9:AG9,MATCH(MAX(TRACKER!C36:AG36),TRACKER!C36:AG36,0)),"-")</f>
        <v>1</v>
      </c>
      <c r="R5" s="47"/>
      <c r="S5" s="47"/>
      <c r="T5" s="47"/>
      <c r="U5" s="3"/>
      <c r="V5" s="3"/>
      <c r="W5" s="3"/>
      <c r="X5" s="3"/>
      <c r="Y5" s="3"/>
      <c r="Z5" s="3"/>
      <c r="AA5" s="3"/>
      <c r="AB5" s="3"/>
      <c r="AC5" s="3"/>
      <c r="AD5" s="3"/>
      <c r="AE5" s="31"/>
      <c r="AF5" s="31"/>
      <c r="AG5" s="31"/>
      <c r="AH5" s="31"/>
      <c r="AI5" s="31"/>
      <c r="AJ5" s="31"/>
      <c r="AK5" s="1"/>
    </row>
    <row r="6" customFormat="false" ht="15" hidden="false" customHeight="true" outlineLevel="0" collapsed="false">
      <c r="A6" s="3"/>
      <c r="B6" s="45"/>
      <c r="C6" s="45"/>
      <c r="D6" s="45"/>
      <c r="E6" s="46"/>
      <c r="F6" s="46"/>
      <c r="G6" s="46"/>
      <c r="H6" s="47"/>
      <c r="I6" s="47"/>
      <c r="J6" s="47"/>
      <c r="K6" s="47"/>
      <c r="L6" s="47"/>
      <c r="M6" s="47"/>
      <c r="N6" s="48"/>
      <c r="O6" s="48"/>
      <c r="P6" s="48"/>
      <c r="Q6" s="47"/>
      <c r="R6" s="47"/>
      <c r="S6" s="47"/>
      <c r="T6" s="47"/>
      <c r="U6" s="3"/>
      <c r="V6" s="3"/>
      <c r="W6" s="3"/>
      <c r="X6" s="3"/>
      <c r="Y6" s="3"/>
      <c r="Z6" s="3"/>
      <c r="AA6" s="3"/>
      <c r="AB6" s="3"/>
      <c r="AC6" s="3"/>
      <c r="AD6" s="3"/>
      <c r="AE6" s="31"/>
      <c r="AF6" s="31"/>
      <c r="AG6" s="31"/>
      <c r="AH6" s="31"/>
      <c r="AI6" s="31"/>
      <c r="AJ6" s="31"/>
      <c r="AK6" s="1"/>
    </row>
    <row r="7" customFormat="false" ht="15" hidden="false" customHeight="true" outlineLevel="0" collapsed="false">
      <c r="A7" s="3"/>
      <c r="B7" s="45"/>
      <c r="C7" s="45"/>
      <c r="D7" s="45"/>
      <c r="E7" s="46"/>
      <c r="F7" s="46"/>
      <c r="G7" s="46"/>
      <c r="H7" s="47"/>
      <c r="I7" s="47"/>
      <c r="J7" s="47"/>
      <c r="K7" s="47"/>
      <c r="L7" s="47"/>
      <c r="M7" s="47"/>
      <c r="N7" s="48"/>
      <c r="O7" s="48"/>
      <c r="P7" s="48"/>
      <c r="Q7" s="47"/>
      <c r="R7" s="47"/>
      <c r="S7" s="47"/>
      <c r="T7" s="47"/>
      <c r="U7" s="3"/>
      <c r="V7" s="3"/>
      <c r="W7" s="3"/>
      <c r="X7" s="3"/>
      <c r="Y7" s="3"/>
      <c r="Z7" s="3"/>
      <c r="AA7" s="3"/>
      <c r="AB7" s="3"/>
      <c r="AC7" s="3"/>
      <c r="AD7" s="3"/>
      <c r="AE7" s="31"/>
      <c r="AF7" s="31"/>
      <c r="AG7" s="31"/>
      <c r="AH7" s="31"/>
      <c r="AI7" s="31"/>
      <c r="AJ7" s="31"/>
      <c r="AK7" s="1"/>
    </row>
    <row r="8" customFormat="false" ht="15" hidden="false" customHeight="true" outlineLevel="0" collapsed="false">
      <c r="A8" s="3"/>
      <c r="B8" s="45"/>
      <c r="C8" s="45"/>
      <c r="D8" s="45"/>
      <c r="E8" s="46"/>
      <c r="F8" s="46"/>
      <c r="G8" s="46"/>
      <c r="H8" s="47"/>
      <c r="I8" s="47"/>
      <c r="J8" s="47"/>
      <c r="K8" s="47"/>
      <c r="L8" s="47"/>
      <c r="M8" s="47"/>
      <c r="N8" s="48"/>
      <c r="O8" s="48"/>
      <c r="P8" s="48"/>
      <c r="Q8" s="47"/>
      <c r="R8" s="47"/>
      <c r="S8" s="47"/>
      <c r="T8" s="47"/>
      <c r="U8" s="3"/>
      <c r="V8" s="3"/>
      <c r="W8" s="3"/>
      <c r="X8" s="3"/>
      <c r="Y8" s="3"/>
      <c r="Z8" s="3"/>
      <c r="AA8" s="3"/>
      <c r="AB8" s="3"/>
      <c r="AC8" s="3"/>
      <c r="AD8" s="3"/>
      <c r="AE8" s="31"/>
      <c r="AF8" s="31"/>
      <c r="AG8" s="31"/>
      <c r="AH8" s="31"/>
      <c r="AI8" s="31"/>
      <c r="AJ8" s="31"/>
      <c r="AK8" s="1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1"/>
      <c r="AF9" s="31"/>
      <c r="AG9" s="31"/>
      <c r="AH9" s="31"/>
      <c r="AI9" s="31"/>
      <c r="AJ9" s="31"/>
      <c r="AK9" s="1"/>
    </row>
    <row r="10" customFormat="false" ht="15" hidden="false" customHeight="true" outlineLevel="0" collapsed="false">
      <c r="A10" s="3"/>
      <c r="B10" s="49" t="s">
        <v>28</v>
      </c>
      <c r="C10" s="3"/>
      <c r="D10" s="3"/>
      <c r="E10" s="3"/>
      <c r="F10" s="3"/>
      <c r="G10" s="49" t="s">
        <v>29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1"/>
      <c r="AF10" s="31"/>
      <c r="AG10" s="31"/>
      <c r="AH10" s="31"/>
      <c r="AI10" s="31"/>
      <c r="AJ10" s="31"/>
      <c r="AK10" s="1"/>
    </row>
    <row r="11" customFormat="false" ht="15" hidden="false" customHeight="true" outlineLevel="0" collapsed="false">
      <c r="A11" s="3"/>
      <c r="B11" s="10" t="s">
        <v>6</v>
      </c>
      <c r="C11" s="10" t="s">
        <v>30</v>
      </c>
      <c r="D11" s="10" t="s">
        <v>31</v>
      </c>
      <c r="E11" s="10" t="s">
        <v>32</v>
      </c>
      <c r="F11" s="3"/>
      <c r="G11" s="10" t="s">
        <v>33</v>
      </c>
      <c r="H11" s="10" t="s">
        <v>34</v>
      </c>
      <c r="I11" s="10" t="s">
        <v>30</v>
      </c>
      <c r="J11" s="10" t="s">
        <v>9</v>
      </c>
      <c r="K11" s="10" t="s">
        <v>5</v>
      </c>
      <c r="L11" s="3"/>
      <c r="M11" s="3"/>
      <c r="N11" s="3"/>
      <c r="O11" s="3"/>
      <c r="P11" s="3"/>
      <c r="Q11" s="3"/>
      <c r="R11" s="3"/>
      <c r="S11" s="3"/>
      <c r="T11" s="3"/>
      <c r="U11" s="3" t="s">
        <v>19</v>
      </c>
      <c r="V11" s="3"/>
      <c r="W11" s="3"/>
      <c r="X11" s="3"/>
      <c r="Y11" s="3"/>
      <c r="Z11" s="3"/>
      <c r="AA11" s="3"/>
      <c r="AB11" s="3"/>
      <c r="AC11" s="3"/>
      <c r="AD11" s="3"/>
      <c r="AE11" s="31"/>
      <c r="AF11" s="31"/>
      <c r="AG11" s="31"/>
      <c r="AH11" s="31"/>
      <c r="AI11" s="31"/>
      <c r="AJ11" s="31"/>
      <c r="AK11" s="1"/>
    </row>
    <row r="12" customFormat="false" ht="15" hidden="false" customHeight="true" outlineLevel="0" collapsed="false">
      <c r="A12" s="3"/>
      <c r="B12" s="23" t="str">
        <f aca="false">CONFIG!B9</f>
        <v>Estudiar</v>
      </c>
      <c r="C12" s="50" t="n">
        <f aca="false">IFERROR(SUM(TRACKER!C10:AG10)/DAY(EOMONTH(DATE(CONFIG!$C$4,CONFIG!$C$5,1),0)),0)</f>
        <v>0.0666666666666667</v>
      </c>
      <c r="D12" s="23" t="n">
        <f aca="false">SUM(TRACKER!C10:AG10)</f>
        <v>2</v>
      </c>
      <c r="E12" s="23" t="str">
        <f aca="false">IF(C12&gt;=CONFIG!C6/100,"ÓPTIMO",IF(C12&gt;=0.5,"EN PROCESO","BAJO"))</f>
        <v>BAJO</v>
      </c>
      <c r="F12" s="3"/>
      <c r="G12" s="23" t="str">
        <f aca="false">TRACKER!C9</f>
        <v>1</v>
      </c>
      <c r="H12" s="23" t="n">
        <f aca="false">IFERROR(SUM(TRACKER!C10:C19),0)</f>
        <v>1</v>
      </c>
      <c r="I12" s="50" t="n">
        <f aca="false">IFERROR(SUM(TRACKER!C10:C19)/10,0)</f>
        <v>0.1</v>
      </c>
      <c r="J12" s="23" t="str">
        <f aca="false">TRACKER!C23</f>
        <v>SI</v>
      </c>
      <c r="K12" s="21" t="n">
        <f aca="false">TRACKER!C22</f>
        <v>7</v>
      </c>
      <c r="L12" s="3"/>
      <c r="M12" s="3"/>
      <c r="N12" s="3"/>
      <c r="O12" s="3"/>
      <c r="P12" s="3"/>
      <c r="Q12" s="3"/>
      <c r="R12" s="3"/>
      <c r="S12" s="3"/>
      <c r="T12" s="3"/>
      <c r="U12" s="3" t="n">
        <f aca="false">CONFIG!$C$6/100</f>
        <v>0.8</v>
      </c>
      <c r="V12" s="3"/>
      <c r="W12" s="3"/>
      <c r="X12" s="3"/>
      <c r="Y12" s="3"/>
      <c r="Z12" s="3"/>
      <c r="AA12" s="3"/>
      <c r="AB12" s="3"/>
      <c r="AC12" s="3"/>
      <c r="AD12" s="3"/>
      <c r="AE12" s="31"/>
      <c r="AF12" s="31"/>
      <c r="AG12" s="31"/>
      <c r="AH12" s="31"/>
      <c r="AI12" s="31"/>
      <c r="AJ12" s="31"/>
      <c r="AK12" s="1"/>
    </row>
    <row r="13" customFormat="false" ht="15" hidden="false" customHeight="true" outlineLevel="0" collapsed="false">
      <c r="A13" s="3"/>
      <c r="B13" s="23" t="str">
        <f aca="false">CONFIG!B10</f>
        <v>Entrenar</v>
      </c>
      <c r="C13" s="50" t="n">
        <f aca="false">IFERROR(SUM(TRACKER!C11:AG11)/DAY(EOMONTH(DATE(CONFIG!$C$4,CONFIG!$C$5,1),0)),0)</f>
        <v>0</v>
      </c>
      <c r="D13" s="23" t="n">
        <f aca="false">SUM(TRACKER!C11:AG11)</f>
        <v>0</v>
      </c>
      <c r="E13" s="23" t="str">
        <f aca="false">IF(C13&gt;=CONFIG!C6/100,"ÓPTIMO",IF(C13&gt;=0.5,"EN PROCESO","BAJO"))</f>
        <v>BAJO</v>
      </c>
      <c r="F13" s="3"/>
      <c r="G13" s="23" t="str">
        <f aca="false">TRACKER!D9</f>
        <v>2</v>
      </c>
      <c r="H13" s="23" t="n">
        <f aca="false">IFERROR(SUM(TRACKER!D10:D19),0)</f>
        <v>0</v>
      </c>
      <c r="I13" s="50" t="n">
        <f aca="false">IFERROR(SUM(TRACKER!D10:D19)/10,0)</f>
        <v>0</v>
      </c>
      <c r="J13" s="23" t="str">
        <f aca="false">TRACKER!D23</f>
        <v>NO</v>
      </c>
      <c r="K13" s="21" t="n">
        <f aca="false">TRACKER!D22</f>
        <v>4</v>
      </c>
      <c r="L13" s="3"/>
      <c r="M13" s="3"/>
      <c r="N13" s="3"/>
      <c r="O13" s="3"/>
      <c r="P13" s="3"/>
      <c r="Q13" s="3"/>
      <c r="R13" s="3"/>
      <c r="S13" s="3"/>
      <c r="T13" s="3"/>
      <c r="U13" s="3" t="n">
        <f aca="false">CONFIG!$C$6/100</f>
        <v>0.8</v>
      </c>
      <c r="V13" s="3"/>
      <c r="W13" s="3"/>
      <c r="X13" s="3"/>
      <c r="Y13" s="3"/>
      <c r="Z13" s="3"/>
      <c r="AA13" s="3"/>
      <c r="AB13" s="3"/>
      <c r="AC13" s="3"/>
      <c r="AD13" s="3"/>
      <c r="AE13" s="31"/>
      <c r="AF13" s="31"/>
      <c r="AG13" s="31"/>
      <c r="AH13" s="31"/>
      <c r="AI13" s="31"/>
      <c r="AJ13" s="31"/>
      <c r="AK13" s="1"/>
    </row>
    <row r="14" customFormat="false" ht="15" hidden="false" customHeight="true" outlineLevel="0" collapsed="false">
      <c r="A14" s="3"/>
      <c r="B14" s="23" t="str">
        <f aca="false">CONFIG!B11</f>
        <v>Modulo Inglés</v>
      </c>
      <c r="C14" s="50" t="n">
        <f aca="false">IFERROR(SUM(TRACKER!C12:AG12)/DAY(EOMONTH(DATE(CONFIG!$C$4,CONFIG!$C$5,1),0)),0)</f>
        <v>0</v>
      </c>
      <c r="D14" s="23" t="n">
        <f aca="false">SUM(TRACKER!C12:AG12)</f>
        <v>0</v>
      </c>
      <c r="E14" s="23" t="str">
        <f aca="false">IF(C14&gt;=CONFIG!C6/100,"ÓPTIMO",IF(C14&gt;=0.5,"EN PROCESO","BAJO"))</f>
        <v>BAJO</v>
      </c>
      <c r="F14" s="3"/>
      <c r="G14" s="23" t="str">
        <f aca="false">TRACKER!E9</f>
        <v>3</v>
      </c>
      <c r="H14" s="23" t="n">
        <f aca="false">IFERROR(SUM(TRACKER!E10:E19),0)</f>
        <v>1</v>
      </c>
      <c r="I14" s="50" t="n">
        <f aca="false">IFERROR(SUM(TRACKER!E10:E19)/10,0)</f>
        <v>0.1</v>
      </c>
      <c r="J14" s="23" t="str">
        <f aca="false">TRACKER!E23</f>
        <v>SI</v>
      </c>
      <c r="K14" s="21" t="n">
        <f aca="false">TRACKER!E22</f>
        <v>8</v>
      </c>
      <c r="L14" s="3"/>
      <c r="M14" s="3"/>
      <c r="N14" s="3"/>
      <c r="O14" s="3"/>
      <c r="P14" s="3"/>
      <c r="Q14" s="3"/>
      <c r="R14" s="3"/>
      <c r="S14" s="3"/>
      <c r="T14" s="3"/>
      <c r="U14" s="3" t="n">
        <f aca="false">CONFIG!$C$6/100</f>
        <v>0.8</v>
      </c>
      <c r="V14" s="3"/>
      <c r="W14" s="3"/>
      <c r="X14" s="3"/>
      <c r="Y14" s="3"/>
      <c r="Z14" s="3"/>
      <c r="AA14" s="3"/>
      <c r="AB14" s="3"/>
      <c r="AC14" s="3"/>
      <c r="AD14" s="3"/>
      <c r="AE14" s="31"/>
      <c r="AF14" s="31"/>
      <c r="AG14" s="31"/>
      <c r="AH14" s="31"/>
      <c r="AI14" s="31"/>
      <c r="AJ14" s="31"/>
      <c r="AK14" s="1"/>
    </row>
    <row r="15" customFormat="false" ht="15" hidden="false" customHeight="true" outlineLevel="0" collapsed="false">
      <c r="A15" s="3"/>
      <c r="B15" s="23" t="str">
        <f aca="false">CONFIG!B12</f>
        <v>-Flashcards</v>
      </c>
      <c r="C15" s="50" t="n">
        <f aca="false">IFERROR(SUM(TRACKER!C13:AG13)/DAY(EOMONTH(DATE(CONFIG!$C$4,CONFIG!$C$5,1),0)),0)</f>
        <v>0</v>
      </c>
      <c r="D15" s="23" t="n">
        <f aca="false">SUM(TRACKER!C13:AG13)</f>
        <v>0</v>
      </c>
      <c r="E15" s="23" t="str">
        <f aca="false">IF(C15&gt;=CONFIG!C6/100,"ÓPTIMO",IF(C15&gt;=0.5,"EN PROCESO","BAJO"))</f>
        <v>BAJO</v>
      </c>
      <c r="F15" s="3"/>
      <c r="G15" s="23" t="str">
        <f aca="false">TRACKER!F9</f>
        <v>4</v>
      </c>
      <c r="H15" s="23" t="n">
        <f aca="false">IFERROR(SUM(TRACKER!F10:F19),0)</f>
        <v>0</v>
      </c>
      <c r="I15" s="50" t="n">
        <f aca="false">IFERROR(SUM(TRACKER!F10:F19)/10,0)</f>
        <v>0</v>
      </c>
      <c r="J15" s="23" t="n">
        <f aca="false">TRACKER!F23</f>
        <v>0</v>
      </c>
      <c r="K15" s="21" t="n">
        <f aca="false">TRACKER!F22</f>
        <v>0</v>
      </c>
      <c r="L15" s="3"/>
      <c r="M15" s="3"/>
      <c r="N15" s="3"/>
      <c r="O15" s="3"/>
      <c r="P15" s="3"/>
      <c r="Q15" s="3"/>
      <c r="R15" s="3"/>
      <c r="S15" s="3"/>
      <c r="T15" s="3"/>
      <c r="U15" s="3" t="n">
        <f aca="false">CONFIG!$C$6/100</f>
        <v>0.8</v>
      </c>
      <c r="V15" s="3"/>
      <c r="W15" s="3"/>
      <c r="X15" s="3"/>
      <c r="Y15" s="3"/>
      <c r="Z15" s="3"/>
      <c r="AA15" s="3"/>
      <c r="AB15" s="3"/>
      <c r="AC15" s="3"/>
      <c r="AD15" s="3"/>
      <c r="AE15" s="31"/>
      <c r="AF15" s="31"/>
      <c r="AG15" s="31"/>
      <c r="AH15" s="31"/>
      <c r="AI15" s="31"/>
      <c r="AJ15" s="31"/>
      <c r="AK15" s="1"/>
    </row>
    <row r="16" customFormat="false" ht="15" hidden="false" customHeight="true" outlineLevel="0" collapsed="false">
      <c r="A16" s="3"/>
      <c r="B16" s="23" t="str">
        <f aca="false">CONFIG!B13</f>
        <v>-Input / idioma</v>
      </c>
      <c r="C16" s="50" t="n">
        <f aca="false">IFERROR(SUM(TRACKER!C14:AG14)/DAY(EOMONTH(DATE(CONFIG!$C$4,CONFIG!$C$5,1),0)),0)</f>
        <v>0</v>
      </c>
      <c r="D16" s="23" t="n">
        <f aca="false">SUM(TRACKER!C14:AG14)</f>
        <v>0</v>
      </c>
      <c r="E16" s="23" t="str">
        <f aca="false">IF(C16&gt;=CONFIG!C6/100,"ÓPTIMO",IF(C16&gt;=0.5,"EN PROCESO","BAJO"))</f>
        <v>BAJO</v>
      </c>
      <c r="F16" s="3"/>
      <c r="G16" s="23" t="str">
        <f aca="false">TRACKER!G9</f>
        <v>5</v>
      </c>
      <c r="H16" s="23" t="n">
        <f aca="false">IFERROR(SUM(TRACKER!G10:G19),0)</f>
        <v>0</v>
      </c>
      <c r="I16" s="50" t="n">
        <f aca="false">IFERROR(SUM(TRACKER!G10:G19)/10,0)</f>
        <v>0</v>
      </c>
      <c r="J16" s="23" t="n">
        <f aca="false">TRACKER!G23</f>
        <v>0</v>
      </c>
      <c r="K16" s="21" t="n">
        <f aca="false">TRACKER!G22</f>
        <v>0</v>
      </c>
      <c r="L16" s="3"/>
      <c r="M16" s="3"/>
      <c r="N16" s="3"/>
      <c r="O16" s="3"/>
      <c r="P16" s="3"/>
      <c r="Q16" s="3"/>
      <c r="R16" s="3"/>
      <c r="S16" s="3"/>
      <c r="T16" s="3"/>
      <c r="U16" s="3" t="n">
        <f aca="false">CONFIG!$C$6/100</f>
        <v>0.8</v>
      </c>
      <c r="V16" s="3"/>
      <c r="W16" s="3"/>
      <c r="X16" s="3"/>
      <c r="Y16" s="3"/>
      <c r="Z16" s="3"/>
      <c r="AA16" s="3"/>
      <c r="AB16" s="3"/>
      <c r="AC16" s="3"/>
      <c r="AD16" s="3"/>
      <c r="AE16" s="31"/>
      <c r="AF16" s="31"/>
      <c r="AG16" s="31"/>
      <c r="AH16" s="31"/>
      <c r="AI16" s="31"/>
      <c r="AJ16" s="31"/>
      <c r="AK16" s="1"/>
    </row>
    <row r="17" customFormat="false" ht="15" hidden="false" customHeight="true" outlineLevel="0" collapsed="false">
      <c r="A17" s="3"/>
      <c r="B17" s="23" t="str">
        <f aca="false">CONFIG!B14</f>
        <v>-Lectura english</v>
      </c>
      <c r="C17" s="50" t="n">
        <f aca="false">IFERROR(SUM(TRACKER!C15:AG15)/DAY(EOMONTH(DATE(CONFIG!$C$4,CONFIG!$C$5,1),0)),0)</f>
        <v>0</v>
      </c>
      <c r="D17" s="23" t="n">
        <f aca="false">SUM(TRACKER!C15:AG15)</f>
        <v>0</v>
      </c>
      <c r="E17" s="23" t="str">
        <f aca="false">IF(C17&gt;=CONFIG!C6/100,"ÓPTIMO",IF(C17&gt;=0.5,"EN PROCESO","BAJO"))</f>
        <v>BAJO</v>
      </c>
      <c r="F17" s="3"/>
      <c r="G17" s="23" t="str">
        <f aca="false">TRACKER!H9</f>
        <v>6</v>
      </c>
      <c r="H17" s="23" t="n">
        <f aca="false">IFERROR(SUM(TRACKER!H10:H19),0)</f>
        <v>0</v>
      </c>
      <c r="I17" s="50" t="n">
        <f aca="false">IFERROR(SUM(TRACKER!H10:H19)/10,0)</f>
        <v>0</v>
      </c>
      <c r="J17" s="23" t="n">
        <f aca="false">TRACKER!H23</f>
        <v>0</v>
      </c>
      <c r="K17" s="21" t="n">
        <f aca="false">TRACKER!H22</f>
        <v>0</v>
      </c>
      <c r="L17" s="3"/>
      <c r="M17" s="3"/>
      <c r="N17" s="3"/>
      <c r="O17" s="3"/>
      <c r="P17" s="3"/>
      <c r="Q17" s="3"/>
      <c r="R17" s="3"/>
      <c r="S17" s="3"/>
      <c r="T17" s="3"/>
      <c r="U17" s="3" t="n">
        <f aca="false">CONFIG!$C$6/100</f>
        <v>0.8</v>
      </c>
      <c r="V17" s="3"/>
      <c r="W17" s="3"/>
      <c r="X17" s="3"/>
      <c r="Y17" s="3"/>
      <c r="Z17" s="3"/>
      <c r="AA17" s="3"/>
      <c r="AB17" s="3"/>
      <c r="AC17" s="3"/>
      <c r="AD17" s="3"/>
      <c r="AE17" s="31"/>
      <c r="AF17" s="31"/>
      <c r="AG17" s="31"/>
      <c r="AH17" s="31"/>
      <c r="AI17" s="31"/>
      <c r="AJ17" s="31"/>
      <c r="AK17" s="1"/>
    </row>
    <row r="18" customFormat="false" ht="15" hidden="false" customHeight="true" outlineLevel="0" collapsed="false">
      <c r="A18" s="3"/>
      <c r="B18" s="23" t="str">
        <f aca="false">CONFIG!B15</f>
        <v>-Grammar</v>
      </c>
      <c r="C18" s="50" t="n">
        <f aca="false">IFERROR(SUM(TRACKER!C16:AG16)/DAY(EOMONTH(DATE(CONFIG!$C$4,CONFIG!$C$5,1),0)),0)</f>
        <v>0</v>
      </c>
      <c r="D18" s="23" t="n">
        <f aca="false">SUM(TRACKER!C16:AG16)</f>
        <v>0</v>
      </c>
      <c r="E18" s="23" t="str">
        <f aca="false">IF(C18&gt;=CONFIG!C6/100,"ÓPTIMO",IF(C18&gt;=0.5,"EN PROCESO","BAJO"))</f>
        <v>BAJO</v>
      </c>
      <c r="F18" s="3"/>
      <c r="G18" s="23" t="str">
        <f aca="false">TRACKER!I9</f>
        <v>7</v>
      </c>
      <c r="H18" s="23" t="n">
        <f aca="false">IFERROR(SUM(TRACKER!I10:I19),0)</f>
        <v>0</v>
      </c>
      <c r="I18" s="50" t="n">
        <f aca="false">IFERROR(SUM(TRACKER!I10:I19)/10,0)</f>
        <v>0</v>
      </c>
      <c r="J18" s="23" t="n">
        <f aca="false">TRACKER!I23</f>
        <v>0</v>
      </c>
      <c r="K18" s="21" t="n">
        <f aca="false">TRACKER!I22</f>
        <v>0</v>
      </c>
      <c r="L18" s="3"/>
      <c r="M18" s="3"/>
      <c r="N18" s="3"/>
      <c r="O18" s="3"/>
      <c r="P18" s="3"/>
      <c r="Q18" s="3"/>
      <c r="R18" s="3"/>
      <c r="S18" s="3"/>
      <c r="T18" s="3"/>
      <c r="U18" s="3" t="n">
        <f aca="false">CONFIG!$C$6/100</f>
        <v>0.8</v>
      </c>
      <c r="V18" s="3"/>
      <c r="W18" s="3"/>
      <c r="X18" s="3"/>
      <c r="Y18" s="3"/>
      <c r="Z18" s="3"/>
      <c r="AA18" s="3"/>
      <c r="AB18" s="3"/>
      <c r="AC18" s="3"/>
      <c r="AD18" s="3"/>
      <c r="AE18" s="31"/>
      <c r="AF18" s="31"/>
      <c r="AG18" s="31"/>
      <c r="AH18" s="31"/>
      <c r="AI18" s="31"/>
      <c r="AJ18" s="31"/>
      <c r="AK18" s="1"/>
    </row>
    <row r="19" customFormat="false" ht="15" hidden="false" customHeight="true" outlineLevel="0" collapsed="false">
      <c r="A19" s="3"/>
      <c r="B19" s="23" t="str">
        <f aca="false">CONFIG!B16</f>
        <v>-Input Gamer</v>
      </c>
      <c r="C19" s="50" t="n">
        <f aca="false">IFERROR(SUM(TRACKER!C17:AG17)/DAY(EOMONTH(DATE(CONFIG!$C$4,CONFIG!$C$5,1),0)),0)</f>
        <v>0</v>
      </c>
      <c r="D19" s="23" t="n">
        <f aca="false">SUM(TRACKER!C17:AG17)</f>
        <v>0</v>
      </c>
      <c r="E19" s="23" t="str">
        <f aca="false">IF(C19&gt;=CONFIG!C6/100,"ÓPTIMO",IF(C19&gt;=0.5,"EN PROCESO","BAJO"))</f>
        <v>BAJO</v>
      </c>
      <c r="F19" s="3"/>
      <c r="G19" s="23" t="str">
        <f aca="false">TRACKER!J9</f>
        <v>8</v>
      </c>
      <c r="H19" s="23" t="n">
        <f aca="false">IFERROR(SUM(TRACKER!J10:J19),0)</f>
        <v>0</v>
      </c>
      <c r="I19" s="50" t="n">
        <f aca="false">IFERROR(SUM(TRACKER!J10:J19)/10,0)</f>
        <v>0</v>
      </c>
      <c r="J19" s="23" t="n">
        <f aca="false">TRACKER!J23</f>
        <v>0</v>
      </c>
      <c r="K19" s="21" t="n">
        <f aca="false">TRACKER!J22</f>
        <v>0</v>
      </c>
      <c r="L19" s="3"/>
      <c r="M19" s="3"/>
      <c r="N19" s="3"/>
      <c r="O19" s="3"/>
      <c r="P19" s="3"/>
      <c r="Q19" s="3"/>
      <c r="R19" s="3"/>
      <c r="S19" s="3"/>
      <c r="T19" s="3"/>
      <c r="U19" s="3" t="n">
        <f aca="false">CONFIG!$C$6/100</f>
        <v>0.8</v>
      </c>
      <c r="V19" s="3"/>
      <c r="W19" s="3"/>
      <c r="X19" s="3"/>
      <c r="Y19" s="3"/>
      <c r="Z19" s="3"/>
      <c r="AA19" s="3"/>
      <c r="AB19" s="3"/>
      <c r="AC19" s="3"/>
      <c r="AD19" s="3"/>
      <c r="AE19" s="31"/>
      <c r="AF19" s="31"/>
      <c r="AG19" s="31"/>
      <c r="AH19" s="31"/>
      <c r="AI19" s="31"/>
      <c r="AJ19" s="31"/>
      <c r="AK19" s="1"/>
    </row>
    <row r="20" customFormat="false" ht="15" hidden="false" customHeight="true" outlineLevel="0" collapsed="false">
      <c r="A20" s="3"/>
      <c r="B20" s="23" t="str">
        <f aca="false">CONFIG!B17</f>
        <v>Leer 1h</v>
      </c>
      <c r="C20" s="50" t="n">
        <f aca="false">IFERROR(SUM(TRACKER!C18:AG18)/DAY(EOMONTH(DATE(CONFIG!$C$4,CONFIG!$C$5,1),0)),0)</f>
        <v>0</v>
      </c>
      <c r="D20" s="23" t="n">
        <f aca="false">SUM(TRACKER!C18:AG18)</f>
        <v>0</v>
      </c>
      <c r="E20" s="23" t="str">
        <f aca="false">IF(C20&gt;=CONFIG!C6/100,"ÓPTIMO",IF(C20&gt;=0.5,"EN PROCESO","BAJO"))</f>
        <v>BAJO</v>
      </c>
      <c r="F20" s="3"/>
      <c r="G20" s="23" t="str">
        <f aca="false">TRACKER!K9</f>
        <v>9</v>
      </c>
      <c r="H20" s="23" t="n">
        <f aca="false">IFERROR(SUM(TRACKER!K10:K19),0)</f>
        <v>0</v>
      </c>
      <c r="I20" s="50" t="n">
        <f aca="false">IFERROR(SUM(TRACKER!K10:K19)/10,0)</f>
        <v>0</v>
      </c>
      <c r="J20" s="23" t="n">
        <f aca="false">TRACKER!K23</f>
        <v>0</v>
      </c>
      <c r="K20" s="21" t="n">
        <f aca="false">TRACKER!K22</f>
        <v>0</v>
      </c>
      <c r="L20" s="3"/>
      <c r="M20" s="3"/>
      <c r="N20" s="3"/>
      <c r="O20" s="3"/>
      <c r="P20" s="3"/>
      <c r="Q20" s="3"/>
      <c r="R20" s="3"/>
      <c r="S20" s="3"/>
      <c r="T20" s="3"/>
      <c r="U20" s="3" t="n">
        <f aca="false">CONFIG!$C$6/100</f>
        <v>0.8</v>
      </c>
      <c r="V20" s="3"/>
      <c r="W20" s="3"/>
      <c r="X20" s="3"/>
      <c r="Y20" s="3"/>
      <c r="Z20" s="3"/>
      <c r="AA20" s="3"/>
      <c r="AB20" s="3"/>
      <c r="AC20" s="3"/>
      <c r="AD20" s="3"/>
      <c r="AE20" s="31"/>
      <c r="AF20" s="31"/>
      <c r="AG20" s="31"/>
      <c r="AH20" s="31"/>
      <c r="AI20" s="31"/>
      <c r="AJ20" s="31"/>
      <c r="AK20" s="1"/>
    </row>
    <row r="21" customFormat="false" ht="15" hidden="false" customHeight="true" outlineLevel="0" collapsed="false">
      <c r="A21" s="3"/>
      <c r="B21" s="23" t="str">
        <f aca="false">CONFIG!B18</f>
        <v>Mindfulness</v>
      </c>
      <c r="C21" s="50" t="n">
        <f aca="false">IFERROR(SUM(TRACKER!C19:AG19)/DAY(EOMONTH(DATE(CONFIG!$C$4,CONFIG!$C$5,1),0)),0)</f>
        <v>0</v>
      </c>
      <c r="D21" s="23" t="n">
        <f aca="false">SUM(TRACKER!C19:AG19)</f>
        <v>0</v>
      </c>
      <c r="E21" s="23" t="str">
        <f aca="false">IF(C21&gt;=CONFIG!C6/100,"ÓPTIMO",IF(C21&gt;=0.5,"EN PROCESO","BAJO"))</f>
        <v>BAJO</v>
      </c>
      <c r="F21" s="3"/>
      <c r="G21" s="23" t="str">
        <f aca="false">TRACKER!L9</f>
        <v>10</v>
      </c>
      <c r="H21" s="23" t="n">
        <f aca="false">IFERROR(SUM(TRACKER!L10:L19),0)</f>
        <v>0</v>
      </c>
      <c r="I21" s="50" t="n">
        <f aca="false">IFERROR(SUM(TRACKER!L10:L19)/10,0)</f>
        <v>0</v>
      </c>
      <c r="J21" s="23" t="n">
        <f aca="false">TRACKER!L23</f>
        <v>0</v>
      </c>
      <c r="K21" s="21" t="n">
        <f aca="false">TRACKER!L22</f>
        <v>0</v>
      </c>
      <c r="L21" s="3"/>
      <c r="M21" s="3"/>
      <c r="N21" s="3"/>
      <c r="O21" s="3"/>
      <c r="P21" s="3"/>
      <c r="Q21" s="3"/>
      <c r="R21" s="3"/>
      <c r="S21" s="3"/>
      <c r="T21" s="3"/>
      <c r="U21" s="3" t="n">
        <f aca="false">CONFIG!$C$6/100</f>
        <v>0.8</v>
      </c>
      <c r="V21" s="3"/>
      <c r="W21" s="3"/>
      <c r="X21" s="3"/>
      <c r="Y21" s="3"/>
      <c r="Z21" s="3"/>
      <c r="AA21" s="3"/>
      <c r="AB21" s="3"/>
      <c r="AC21" s="3"/>
      <c r="AD21" s="3"/>
      <c r="AE21" s="31"/>
      <c r="AF21" s="31"/>
      <c r="AG21" s="31"/>
      <c r="AH21" s="31"/>
      <c r="AI21" s="31"/>
      <c r="AJ21" s="31"/>
      <c r="AK21" s="1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23" t="str">
        <f aca="false">TRACKER!M9</f>
        <v>11</v>
      </c>
      <c r="H22" s="23" t="n">
        <f aca="false">IFERROR(SUM(TRACKER!M10:M19),0)</f>
        <v>0</v>
      </c>
      <c r="I22" s="50" t="n">
        <f aca="false">IFERROR(SUM(TRACKER!M10:M19)/10,0)</f>
        <v>0</v>
      </c>
      <c r="J22" s="23" t="n">
        <f aca="false">TRACKER!M23</f>
        <v>0</v>
      </c>
      <c r="K22" s="21" t="n">
        <f aca="false">TRACKER!M22</f>
        <v>0</v>
      </c>
      <c r="L22" s="3"/>
      <c r="M22" s="3"/>
      <c r="N22" s="3"/>
      <c r="O22" s="3"/>
      <c r="P22" s="3"/>
      <c r="Q22" s="3"/>
      <c r="R22" s="3"/>
      <c r="S22" s="3"/>
      <c r="T22" s="3"/>
      <c r="U22" s="3" t="n">
        <f aca="false">CONFIG!$C$6/100</f>
        <v>0.8</v>
      </c>
      <c r="V22" s="3"/>
      <c r="W22" s="3"/>
      <c r="X22" s="3"/>
      <c r="Y22" s="3"/>
      <c r="Z22" s="3"/>
      <c r="AA22" s="3"/>
      <c r="AB22" s="3"/>
      <c r="AC22" s="3"/>
      <c r="AD22" s="3"/>
      <c r="AE22" s="31"/>
      <c r="AF22" s="31"/>
      <c r="AG22" s="31"/>
      <c r="AH22" s="31"/>
      <c r="AI22" s="31"/>
      <c r="AJ22" s="31"/>
      <c r="AK22" s="1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23" t="str">
        <f aca="false">TRACKER!N9</f>
        <v>12</v>
      </c>
      <c r="H23" s="23" t="n">
        <f aca="false">IFERROR(SUM(TRACKER!N10:N19),0)</f>
        <v>0</v>
      </c>
      <c r="I23" s="50" t="n">
        <f aca="false">IFERROR(SUM(TRACKER!N10:N19)/10,0)</f>
        <v>0</v>
      </c>
      <c r="J23" s="23" t="n">
        <f aca="false">TRACKER!N23</f>
        <v>0</v>
      </c>
      <c r="K23" s="21" t="n">
        <f aca="false">TRACKER!N22</f>
        <v>0</v>
      </c>
      <c r="L23" s="3"/>
      <c r="M23" s="3"/>
      <c r="N23" s="3"/>
      <c r="O23" s="3"/>
      <c r="P23" s="3"/>
      <c r="Q23" s="3"/>
      <c r="R23" s="3"/>
      <c r="S23" s="3"/>
      <c r="T23" s="3"/>
      <c r="U23" s="3" t="n">
        <f aca="false">CONFIG!$C$6/100</f>
        <v>0.8</v>
      </c>
      <c r="V23" s="3"/>
      <c r="W23" s="3"/>
      <c r="X23" s="3"/>
      <c r="Y23" s="3"/>
      <c r="Z23" s="3"/>
      <c r="AA23" s="3"/>
      <c r="AB23" s="3"/>
      <c r="AC23" s="3"/>
      <c r="AD23" s="3"/>
      <c r="AE23" s="31"/>
      <c r="AF23" s="31"/>
      <c r="AG23" s="31"/>
      <c r="AH23" s="31"/>
      <c r="AI23" s="31"/>
      <c r="AJ23" s="31"/>
      <c r="AK23" s="1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23" t="str">
        <f aca="false">TRACKER!O9</f>
        <v>13</v>
      </c>
      <c r="H24" s="23" t="n">
        <f aca="false">IFERROR(SUM(TRACKER!O10:O19),0)</f>
        <v>0</v>
      </c>
      <c r="I24" s="50" t="n">
        <f aca="false">IFERROR(SUM(TRACKER!O10:O19)/10,0)</f>
        <v>0</v>
      </c>
      <c r="J24" s="23" t="n">
        <f aca="false">TRACKER!O23</f>
        <v>0</v>
      </c>
      <c r="K24" s="21" t="n">
        <f aca="false">TRACKER!O22</f>
        <v>0</v>
      </c>
      <c r="L24" s="3"/>
      <c r="M24" s="3"/>
      <c r="N24" s="3"/>
      <c r="O24" s="3"/>
      <c r="P24" s="3"/>
      <c r="Q24" s="3"/>
      <c r="R24" s="3"/>
      <c r="S24" s="3"/>
      <c r="T24" s="3"/>
      <c r="U24" s="3" t="n">
        <f aca="false">CONFIG!$C$6/100</f>
        <v>0.8</v>
      </c>
      <c r="V24" s="3"/>
      <c r="W24" s="3"/>
      <c r="X24" s="3"/>
      <c r="Y24" s="3"/>
      <c r="Z24" s="3"/>
      <c r="AA24" s="3"/>
      <c r="AB24" s="3"/>
      <c r="AC24" s="3"/>
      <c r="AD24" s="3"/>
      <c r="AE24" s="31"/>
      <c r="AF24" s="31"/>
      <c r="AG24" s="31"/>
      <c r="AH24" s="31"/>
      <c r="AI24" s="31"/>
      <c r="AJ24" s="31"/>
      <c r="AK24" s="1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23" t="str">
        <f aca="false">TRACKER!P9</f>
        <v>14</v>
      </c>
      <c r="H25" s="23" t="n">
        <f aca="false">IFERROR(SUM(TRACKER!P10:P19),0)</f>
        <v>0</v>
      </c>
      <c r="I25" s="50" t="n">
        <f aca="false">IFERROR(SUM(TRACKER!P10:P19)/10,0)</f>
        <v>0</v>
      </c>
      <c r="J25" s="23" t="n">
        <f aca="false">TRACKER!P23</f>
        <v>0</v>
      </c>
      <c r="K25" s="21" t="n">
        <f aca="false">TRACKER!P22</f>
        <v>0</v>
      </c>
      <c r="L25" s="3"/>
      <c r="M25" s="3"/>
      <c r="N25" s="3"/>
      <c r="O25" s="3"/>
      <c r="P25" s="3"/>
      <c r="Q25" s="3"/>
      <c r="R25" s="3"/>
      <c r="S25" s="3"/>
      <c r="T25" s="3"/>
      <c r="U25" s="3" t="n">
        <f aca="false">CONFIG!$C$6/100</f>
        <v>0.8</v>
      </c>
      <c r="V25" s="3"/>
      <c r="W25" s="3"/>
      <c r="X25" s="3"/>
      <c r="Y25" s="3"/>
      <c r="Z25" s="3"/>
      <c r="AA25" s="3"/>
      <c r="AB25" s="3"/>
      <c r="AC25" s="3"/>
      <c r="AD25" s="3"/>
      <c r="AE25" s="31"/>
      <c r="AF25" s="31"/>
      <c r="AG25" s="31"/>
      <c r="AH25" s="31"/>
      <c r="AI25" s="31"/>
      <c r="AJ25" s="31"/>
      <c r="AK25" s="1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23" t="str">
        <f aca="false">TRACKER!Q9</f>
        <v>15</v>
      </c>
      <c r="H26" s="23" t="n">
        <f aca="false">IFERROR(SUM(TRACKER!Q10:Q19),0)</f>
        <v>0</v>
      </c>
      <c r="I26" s="50" t="n">
        <f aca="false">IFERROR(SUM(TRACKER!Q10:Q19)/10,0)</f>
        <v>0</v>
      </c>
      <c r="J26" s="23" t="n">
        <f aca="false">TRACKER!Q23</f>
        <v>0</v>
      </c>
      <c r="K26" s="21" t="n">
        <f aca="false">TRACKER!Q22</f>
        <v>0</v>
      </c>
      <c r="L26" s="3"/>
      <c r="M26" s="3"/>
      <c r="N26" s="3"/>
      <c r="O26" s="3"/>
      <c r="P26" s="3"/>
      <c r="Q26" s="3"/>
      <c r="R26" s="3"/>
      <c r="S26" s="3"/>
      <c r="T26" s="3"/>
      <c r="U26" s="3" t="n">
        <f aca="false">CONFIG!$C$6/100</f>
        <v>0.8</v>
      </c>
      <c r="V26" s="3"/>
      <c r="W26" s="3"/>
      <c r="X26" s="3"/>
      <c r="Y26" s="3"/>
      <c r="Z26" s="3"/>
      <c r="AA26" s="3"/>
      <c r="AB26" s="3"/>
      <c r="AC26" s="3"/>
      <c r="AD26" s="3"/>
      <c r="AE26" s="31"/>
      <c r="AF26" s="31"/>
      <c r="AG26" s="31"/>
      <c r="AH26" s="31"/>
      <c r="AI26" s="31"/>
      <c r="AJ26" s="31"/>
      <c r="AK26" s="1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23" t="str">
        <f aca="false">TRACKER!R9</f>
        <v>16</v>
      </c>
      <c r="H27" s="23" t="n">
        <f aca="false">IFERROR(SUM(TRACKER!R10:R19),0)</f>
        <v>0</v>
      </c>
      <c r="I27" s="50" t="n">
        <f aca="false">IFERROR(SUM(TRACKER!R10:R19)/10,0)</f>
        <v>0</v>
      </c>
      <c r="J27" s="23" t="n">
        <f aca="false">TRACKER!R23</f>
        <v>0</v>
      </c>
      <c r="K27" s="21" t="n">
        <f aca="false">TRACKER!R22</f>
        <v>0</v>
      </c>
      <c r="L27" s="3"/>
      <c r="M27" s="3"/>
      <c r="N27" s="3"/>
      <c r="O27" s="3"/>
      <c r="P27" s="3"/>
      <c r="Q27" s="3"/>
      <c r="R27" s="3"/>
      <c r="S27" s="3"/>
      <c r="T27" s="3"/>
      <c r="U27" s="3" t="n">
        <f aca="false">CONFIG!$C$6/100</f>
        <v>0.8</v>
      </c>
      <c r="V27" s="3"/>
      <c r="W27" s="3"/>
      <c r="X27" s="3"/>
      <c r="Y27" s="3"/>
      <c r="Z27" s="3"/>
      <c r="AA27" s="3"/>
      <c r="AB27" s="3"/>
      <c r="AC27" s="3"/>
      <c r="AD27" s="3"/>
      <c r="AE27" s="31"/>
      <c r="AF27" s="31"/>
      <c r="AG27" s="31"/>
      <c r="AH27" s="31"/>
      <c r="AI27" s="31"/>
      <c r="AJ27" s="31"/>
      <c r="AK27" s="1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23" t="str">
        <f aca="false">TRACKER!S9</f>
        <v>17</v>
      </c>
      <c r="H28" s="23" t="n">
        <f aca="false">IFERROR(SUM(TRACKER!S10:S19),0)</f>
        <v>0</v>
      </c>
      <c r="I28" s="50" t="n">
        <f aca="false">IFERROR(SUM(TRACKER!S10:S19)/10,0)</f>
        <v>0</v>
      </c>
      <c r="J28" s="23" t="n">
        <f aca="false">TRACKER!S23</f>
        <v>0</v>
      </c>
      <c r="K28" s="21" t="n">
        <f aca="false">TRACKER!S22</f>
        <v>0</v>
      </c>
      <c r="L28" s="3"/>
      <c r="M28" s="3"/>
      <c r="N28" s="3"/>
      <c r="O28" s="3"/>
      <c r="P28" s="3"/>
      <c r="Q28" s="3"/>
      <c r="R28" s="3"/>
      <c r="S28" s="3"/>
      <c r="T28" s="3"/>
      <c r="U28" s="3" t="n">
        <f aca="false">CONFIG!$C$6/100</f>
        <v>0.8</v>
      </c>
      <c r="V28" s="3"/>
      <c r="W28" s="3"/>
      <c r="X28" s="3"/>
      <c r="Y28" s="3"/>
      <c r="Z28" s="3"/>
      <c r="AA28" s="3"/>
      <c r="AB28" s="3"/>
      <c r="AC28" s="3"/>
      <c r="AD28" s="3"/>
      <c r="AE28" s="31"/>
      <c r="AF28" s="31"/>
      <c r="AG28" s="31"/>
      <c r="AH28" s="31"/>
      <c r="AI28" s="31"/>
      <c r="AJ28" s="31"/>
      <c r="AK28" s="1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23" t="str">
        <f aca="false">TRACKER!T9</f>
        <v>18</v>
      </c>
      <c r="H29" s="23" t="n">
        <f aca="false">IFERROR(SUM(TRACKER!T10:T19),0)</f>
        <v>0</v>
      </c>
      <c r="I29" s="50" t="n">
        <f aca="false">IFERROR(SUM(TRACKER!T10:T19)/10,0)</f>
        <v>0</v>
      </c>
      <c r="J29" s="23" t="n">
        <f aca="false">TRACKER!T23</f>
        <v>0</v>
      </c>
      <c r="K29" s="21" t="n">
        <f aca="false">TRACKER!T22</f>
        <v>0</v>
      </c>
      <c r="L29" s="3"/>
      <c r="M29" s="3"/>
      <c r="N29" s="3"/>
      <c r="O29" s="3"/>
      <c r="P29" s="3"/>
      <c r="Q29" s="3"/>
      <c r="R29" s="3"/>
      <c r="S29" s="3"/>
      <c r="T29" s="3"/>
      <c r="U29" s="3" t="n">
        <f aca="false">CONFIG!$C$6/100</f>
        <v>0.8</v>
      </c>
      <c r="V29" s="3"/>
      <c r="W29" s="3"/>
      <c r="X29" s="3"/>
      <c r="Y29" s="3"/>
      <c r="Z29" s="3"/>
      <c r="AA29" s="3"/>
      <c r="AB29" s="3"/>
      <c r="AC29" s="3"/>
      <c r="AD29" s="3"/>
      <c r="AE29" s="31"/>
      <c r="AF29" s="31"/>
      <c r="AG29" s="31"/>
      <c r="AH29" s="31"/>
      <c r="AI29" s="31"/>
      <c r="AJ29" s="31"/>
      <c r="AK29" s="1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23" t="str">
        <f aca="false">TRACKER!U9</f>
        <v>19</v>
      </c>
      <c r="H30" s="23" t="n">
        <f aca="false">IFERROR(SUM(TRACKER!U10:U19),0)</f>
        <v>0</v>
      </c>
      <c r="I30" s="50" t="n">
        <f aca="false">IFERROR(SUM(TRACKER!U10:U19)/10,0)</f>
        <v>0</v>
      </c>
      <c r="J30" s="23" t="n">
        <f aca="false">TRACKER!U23</f>
        <v>0</v>
      </c>
      <c r="K30" s="21" t="n">
        <f aca="false">TRACKER!U22</f>
        <v>0</v>
      </c>
      <c r="L30" s="3"/>
      <c r="M30" s="3"/>
      <c r="N30" s="3"/>
      <c r="O30" s="3"/>
      <c r="P30" s="3"/>
      <c r="Q30" s="3"/>
      <c r="R30" s="3"/>
      <c r="S30" s="3"/>
      <c r="T30" s="3"/>
      <c r="U30" s="3" t="n">
        <f aca="false">CONFIG!$C$6/100</f>
        <v>0.8</v>
      </c>
      <c r="V30" s="3"/>
      <c r="W30" s="3"/>
      <c r="X30" s="3"/>
      <c r="Y30" s="3"/>
      <c r="Z30" s="3"/>
      <c r="AA30" s="3"/>
      <c r="AB30" s="3"/>
      <c r="AC30" s="3"/>
      <c r="AD30" s="3"/>
      <c r="AE30" s="31"/>
      <c r="AF30" s="31"/>
      <c r="AG30" s="31"/>
      <c r="AH30" s="31"/>
      <c r="AI30" s="31"/>
      <c r="AJ30" s="31"/>
      <c r="AK30" s="1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23" t="str">
        <f aca="false">TRACKER!V9</f>
        <v>20</v>
      </c>
      <c r="H31" s="23" t="n">
        <f aca="false">IFERROR(SUM(TRACKER!V10:V19),0)</f>
        <v>0</v>
      </c>
      <c r="I31" s="50" t="n">
        <f aca="false">IFERROR(SUM(TRACKER!V10:V19)/10,0)</f>
        <v>0</v>
      </c>
      <c r="J31" s="23" t="n">
        <f aca="false">TRACKER!V23</f>
        <v>0</v>
      </c>
      <c r="K31" s="21" t="n">
        <f aca="false">TRACKER!V22</f>
        <v>0</v>
      </c>
      <c r="L31" s="3"/>
      <c r="M31" s="3"/>
      <c r="N31" s="3"/>
      <c r="O31" s="3"/>
      <c r="P31" s="3"/>
      <c r="Q31" s="3"/>
      <c r="R31" s="3"/>
      <c r="S31" s="3"/>
      <c r="T31" s="3"/>
      <c r="U31" s="3" t="n">
        <f aca="false">CONFIG!$C$6/100</f>
        <v>0.8</v>
      </c>
      <c r="V31" s="3"/>
      <c r="W31" s="3"/>
      <c r="X31" s="3"/>
      <c r="Y31" s="3"/>
      <c r="Z31" s="3"/>
      <c r="AA31" s="3"/>
      <c r="AB31" s="3"/>
      <c r="AC31" s="3"/>
      <c r="AD31" s="3"/>
      <c r="AE31" s="31"/>
      <c r="AF31" s="31"/>
      <c r="AG31" s="31"/>
      <c r="AH31" s="31"/>
      <c r="AI31" s="31"/>
      <c r="AJ31" s="31"/>
      <c r="AK31" s="1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23" t="str">
        <f aca="false">TRACKER!W9</f>
        <v>21</v>
      </c>
      <c r="H32" s="23" t="n">
        <f aca="false">IFERROR(SUM(TRACKER!W10:W19),0)</f>
        <v>0</v>
      </c>
      <c r="I32" s="50" t="n">
        <f aca="false">IFERROR(SUM(TRACKER!W10:W19)/10,0)</f>
        <v>0</v>
      </c>
      <c r="J32" s="23" t="n">
        <f aca="false">TRACKER!W23</f>
        <v>0</v>
      </c>
      <c r="K32" s="21" t="n">
        <f aca="false">TRACKER!W22</f>
        <v>0</v>
      </c>
      <c r="L32" s="3"/>
      <c r="M32" s="3"/>
      <c r="N32" s="3"/>
      <c r="O32" s="3"/>
      <c r="P32" s="3"/>
      <c r="Q32" s="3"/>
      <c r="R32" s="3"/>
      <c r="S32" s="3"/>
      <c r="T32" s="3"/>
      <c r="U32" s="3" t="n">
        <f aca="false">CONFIG!$C$6/100</f>
        <v>0.8</v>
      </c>
      <c r="V32" s="3"/>
      <c r="W32" s="3"/>
      <c r="X32" s="3"/>
      <c r="Y32" s="3"/>
      <c r="Z32" s="3"/>
      <c r="AA32" s="3"/>
      <c r="AB32" s="3"/>
      <c r="AC32" s="3"/>
      <c r="AD32" s="3"/>
      <c r="AE32" s="31"/>
      <c r="AF32" s="31"/>
      <c r="AG32" s="31"/>
      <c r="AH32" s="31"/>
      <c r="AI32" s="31"/>
      <c r="AJ32" s="31"/>
      <c r="AK32" s="1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23" t="str">
        <f aca="false">TRACKER!X9</f>
        <v>22</v>
      </c>
      <c r="H33" s="23" t="n">
        <f aca="false">IFERROR(SUM(TRACKER!X10:X19),0)</f>
        <v>0</v>
      </c>
      <c r="I33" s="50" t="n">
        <f aca="false">IFERROR(SUM(TRACKER!X10:X19)/10,0)</f>
        <v>0</v>
      </c>
      <c r="J33" s="23" t="n">
        <f aca="false">TRACKER!X23</f>
        <v>0</v>
      </c>
      <c r="K33" s="21" t="n">
        <f aca="false">TRACKER!X22</f>
        <v>0</v>
      </c>
      <c r="L33" s="3"/>
      <c r="M33" s="3"/>
      <c r="N33" s="3"/>
      <c r="O33" s="3"/>
      <c r="P33" s="3"/>
      <c r="Q33" s="3"/>
      <c r="R33" s="3"/>
      <c r="S33" s="3"/>
      <c r="T33" s="3"/>
      <c r="U33" s="3" t="n">
        <f aca="false">CONFIG!$C$6/100</f>
        <v>0.8</v>
      </c>
      <c r="V33" s="3"/>
      <c r="W33" s="3"/>
      <c r="X33" s="3"/>
      <c r="Y33" s="3"/>
      <c r="Z33" s="3"/>
      <c r="AA33" s="3"/>
      <c r="AB33" s="3"/>
      <c r="AC33" s="3"/>
      <c r="AD33" s="3"/>
      <c r="AE33" s="31"/>
      <c r="AF33" s="31"/>
      <c r="AG33" s="31"/>
      <c r="AH33" s="31"/>
      <c r="AI33" s="31"/>
      <c r="AJ33" s="31"/>
      <c r="AK33" s="1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23" t="str">
        <f aca="false">TRACKER!Y9</f>
        <v>23</v>
      </c>
      <c r="H34" s="23" t="n">
        <f aca="false">IFERROR(SUM(TRACKER!Y10:Y19),0)</f>
        <v>0</v>
      </c>
      <c r="I34" s="50" t="n">
        <f aca="false">IFERROR(SUM(TRACKER!Y10:Y19)/10,0)</f>
        <v>0</v>
      </c>
      <c r="J34" s="23" t="n">
        <f aca="false">TRACKER!Y23</f>
        <v>0</v>
      </c>
      <c r="K34" s="21" t="n">
        <f aca="false">TRACKER!Y22</f>
        <v>0</v>
      </c>
      <c r="L34" s="3"/>
      <c r="M34" s="3"/>
      <c r="N34" s="3"/>
      <c r="O34" s="3"/>
      <c r="P34" s="3"/>
      <c r="Q34" s="3"/>
      <c r="R34" s="3"/>
      <c r="S34" s="3"/>
      <c r="T34" s="3"/>
      <c r="U34" s="3" t="n">
        <f aca="false">CONFIG!$C$6/100</f>
        <v>0.8</v>
      </c>
      <c r="V34" s="3"/>
      <c r="W34" s="3"/>
      <c r="X34" s="3"/>
      <c r="Y34" s="3"/>
      <c r="Z34" s="3"/>
      <c r="AA34" s="3"/>
      <c r="AB34" s="3"/>
      <c r="AC34" s="3"/>
      <c r="AD34" s="3"/>
      <c r="AE34" s="31"/>
      <c r="AF34" s="31"/>
      <c r="AG34" s="31"/>
      <c r="AH34" s="31"/>
      <c r="AI34" s="31"/>
      <c r="AJ34" s="31"/>
      <c r="AK34" s="1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23" t="str">
        <f aca="false">TRACKER!Z9</f>
        <v>24</v>
      </c>
      <c r="H35" s="23" t="n">
        <f aca="false">IFERROR(SUM(TRACKER!Z10:Z19),0)</f>
        <v>0</v>
      </c>
      <c r="I35" s="50" t="n">
        <f aca="false">IFERROR(SUM(TRACKER!Z10:Z19)/10,0)</f>
        <v>0</v>
      </c>
      <c r="J35" s="23" t="n">
        <f aca="false">TRACKER!Z23</f>
        <v>0</v>
      </c>
      <c r="K35" s="21" t="n">
        <f aca="false">TRACKER!Z22</f>
        <v>0</v>
      </c>
      <c r="L35" s="3"/>
      <c r="M35" s="3"/>
      <c r="N35" s="3"/>
      <c r="O35" s="3"/>
      <c r="P35" s="3"/>
      <c r="Q35" s="3"/>
      <c r="R35" s="3"/>
      <c r="S35" s="3"/>
      <c r="T35" s="3"/>
      <c r="U35" s="3" t="n">
        <f aca="false">CONFIG!$C$6/100</f>
        <v>0.8</v>
      </c>
      <c r="V35" s="3"/>
      <c r="W35" s="3"/>
      <c r="X35" s="3"/>
      <c r="Y35" s="3"/>
      <c r="Z35" s="3"/>
      <c r="AA35" s="3"/>
      <c r="AB35" s="3"/>
      <c r="AC35" s="3"/>
      <c r="AD35" s="3"/>
      <c r="AE35" s="31"/>
      <c r="AF35" s="31"/>
      <c r="AG35" s="31"/>
      <c r="AH35" s="31"/>
      <c r="AI35" s="31"/>
      <c r="AJ35" s="31"/>
      <c r="AK35" s="1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23" t="str">
        <f aca="false">TRACKER!AA9</f>
        <v>25</v>
      </c>
      <c r="H36" s="23" t="n">
        <f aca="false">IFERROR(SUM(TRACKER!AA10:AA19),0)</f>
        <v>0</v>
      </c>
      <c r="I36" s="50" t="n">
        <f aca="false">IFERROR(SUM(TRACKER!AA10:AA19)/10,0)</f>
        <v>0</v>
      </c>
      <c r="J36" s="23" t="n">
        <f aca="false">TRACKER!AA23</f>
        <v>0</v>
      </c>
      <c r="K36" s="21" t="n">
        <f aca="false">TRACKER!AA22</f>
        <v>0</v>
      </c>
      <c r="L36" s="3"/>
      <c r="M36" s="3"/>
      <c r="N36" s="3"/>
      <c r="O36" s="3"/>
      <c r="P36" s="3"/>
      <c r="Q36" s="3"/>
      <c r="R36" s="3"/>
      <c r="S36" s="3"/>
      <c r="T36" s="3"/>
      <c r="U36" s="3" t="n">
        <f aca="false">CONFIG!$C$6/100</f>
        <v>0.8</v>
      </c>
      <c r="V36" s="3"/>
      <c r="W36" s="3"/>
      <c r="X36" s="3"/>
      <c r="Y36" s="3"/>
      <c r="Z36" s="3"/>
      <c r="AA36" s="3"/>
      <c r="AB36" s="3"/>
      <c r="AC36" s="3"/>
      <c r="AD36" s="3"/>
      <c r="AE36" s="31"/>
      <c r="AF36" s="31"/>
      <c r="AG36" s="31"/>
      <c r="AH36" s="31"/>
      <c r="AI36" s="31"/>
      <c r="AJ36" s="31"/>
      <c r="AK36" s="1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23" t="str">
        <f aca="false">TRACKER!AB9</f>
        <v>26</v>
      </c>
      <c r="H37" s="23" t="n">
        <f aca="false">IFERROR(SUM(TRACKER!AB10:AB19),0)</f>
        <v>0</v>
      </c>
      <c r="I37" s="50" t="n">
        <f aca="false">IFERROR(SUM(TRACKER!AB10:AB19)/10,0)</f>
        <v>0</v>
      </c>
      <c r="J37" s="23" t="n">
        <f aca="false">TRACKER!AB23</f>
        <v>0</v>
      </c>
      <c r="K37" s="21" t="n">
        <f aca="false">TRACKER!AB22</f>
        <v>0</v>
      </c>
      <c r="L37" s="3"/>
      <c r="M37" s="3"/>
      <c r="N37" s="3"/>
      <c r="O37" s="3"/>
      <c r="P37" s="3"/>
      <c r="Q37" s="3"/>
      <c r="R37" s="3"/>
      <c r="S37" s="3"/>
      <c r="T37" s="3"/>
      <c r="U37" s="3" t="n">
        <f aca="false">CONFIG!$C$6/100</f>
        <v>0.8</v>
      </c>
      <c r="V37" s="3"/>
      <c r="W37" s="3"/>
      <c r="X37" s="3"/>
      <c r="Y37" s="3"/>
      <c r="Z37" s="3"/>
      <c r="AA37" s="3"/>
      <c r="AB37" s="3"/>
      <c r="AC37" s="3"/>
      <c r="AD37" s="3"/>
      <c r="AE37" s="31"/>
      <c r="AF37" s="31"/>
      <c r="AG37" s="31"/>
      <c r="AH37" s="31"/>
      <c r="AI37" s="31"/>
      <c r="AJ37" s="31"/>
      <c r="AK37" s="1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23" t="str">
        <f aca="false">TRACKER!AC9</f>
        <v>27</v>
      </c>
      <c r="H38" s="23" t="n">
        <f aca="false">IFERROR(SUM(TRACKER!AC10:AC19),0)</f>
        <v>0</v>
      </c>
      <c r="I38" s="50" t="n">
        <f aca="false">IFERROR(SUM(TRACKER!AC10:AC19)/10,0)</f>
        <v>0</v>
      </c>
      <c r="J38" s="23" t="n">
        <f aca="false">TRACKER!AC23</f>
        <v>0</v>
      </c>
      <c r="K38" s="21" t="n">
        <f aca="false">TRACKER!AC22</f>
        <v>0</v>
      </c>
      <c r="L38" s="3"/>
      <c r="M38" s="3"/>
      <c r="N38" s="3"/>
      <c r="O38" s="3"/>
      <c r="P38" s="3"/>
      <c r="Q38" s="3"/>
      <c r="R38" s="3"/>
      <c r="S38" s="3"/>
      <c r="T38" s="3"/>
      <c r="U38" s="3" t="n">
        <f aca="false">CONFIG!$C$6/100</f>
        <v>0.8</v>
      </c>
      <c r="V38" s="3"/>
      <c r="W38" s="3"/>
      <c r="X38" s="3"/>
      <c r="Y38" s="3"/>
      <c r="Z38" s="3"/>
      <c r="AA38" s="3"/>
      <c r="AB38" s="3"/>
      <c r="AC38" s="3"/>
      <c r="AD38" s="3"/>
      <c r="AE38" s="31"/>
      <c r="AF38" s="31"/>
      <c r="AG38" s="31"/>
      <c r="AH38" s="31"/>
      <c r="AI38" s="31"/>
      <c r="AJ38" s="31"/>
      <c r="AK38" s="1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23" t="str">
        <f aca="false">TRACKER!AD9</f>
        <v>28</v>
      </c>
      <c r="H39" s="23" t="n">
        <f aca="false">IFERROR(SUM(TRACKER!AD10:AD19),0)</f>
        <v>0</v>
      </c>
      <c r="I39" s="50" t="n">
        <f aca="false">IFERROR(SUM(TRACKER!AD10:AD19)/10,0)</f>
        <v>0</v>
      </c>
      <c r="J39" s="23" t="n">
        <f aca="false">TRACKER!AD23</f>
        <v>0</v>
      </c>
      <c r="K39" s="21" t="n">
        <f aca="false">TRACKER!AD22</f>
        <v>0</v>
      </c>
      <c r="L39" s="3"/>
      <c r="M39" s="3"/>
      <c r="N39" s="3"/>
      <c r="O39" s="3"/>
      <c r="P39" s="3"/>
      <c r="Q39" s="3"/>
      <c r="R39" s="3"/>
      <c r="S39" s="3"/>
      <c r="T39" s="3"/>
      <c r="U39" s="3" t="n">
        <f aca="false">CONFIG!$C$6/100</f>
        <v>0.8</v>
      </c>
      <c r="V39" s="3"/>
      <c r="W39" s="3"/>
      <c r="X39" s="3"/>
      <c r="Y39" s="3"/>
      <c r="Z39" s="3"/>
      <c r="AA39" s="3"/>
      <c r="AB39" s="3"/>
      <c r="AC39" s="3"/>
      <c r="AD39" s="3"/>
      <c r="AE39" s="31"/>
      <c r="AF39" s="31"/>
      <c r="AG39" s="31"/>
      <c r="AH39" s="31"/>
      <c r="AI39" s="31"/>
      <c r="AJ39" s="31"/>
      <c r="AK39" s="1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23" t="str">
        <f aca="false">TRACKER!AE9</f>
        <v>29</v>
      </c>
      <c r="H40" s="23" t="n">
        <f aca="false">IFERROR(SUM(TRACKER!AE10:AE19),0)</f>
        <v>0</v>
      </c>
      <c r="I40" s="50" t="n">
        <f aca="false">IFERROR(SUM(TRACKER!AE10:AE19)/10,0)</f>
        <v>0</v>
      </c>
      <c r="J40" s="23" t="n">
        <f aca="false">TRACKER!AE23</f>
        <v>0</v>
      </c>
      <c r="K40" s="21" t="n">
        <f aca="false">TRACKER!AE22</f>
        <v>0</v>
      </c>
      <c r="L40" s="3"/>
      <c r="M40" s="3"/>
      <c r="N40" s="3"/>
      <c r="O40" s="3"/>
      <c r="P40" s="3"/>
      <c r="Q40" s="3"/>
      <c r="R40" s="3"/>
      <c r="S40" s="3"/>
      <c r="T40" s="3"/>
      <c r="U40" s="3" t="n">
        <f aca="false">CONFIG!$C$6/100</f>
        <v>0.8</v>
      </c>
      <c r="V40" s="3"/>
      <c r="W40" s="3"/>
      <c r="X40" s="3"/>
      <c r="Y40" s="3"/>
      <c r="Z40" s="3"/>
      <c r="AA40" s="3"/>
      <c r="AB40" s="3"/>
      <c r="AC40" s="3"/>
      <c r="AD40" s="3"/>
      <c r="AE40" s="31"/>
      <c r="AF40" s="31"/>
      <c r="AG40" s="31"/>
      <c r="AH40" s="31"/>
      <c r="AI40" s="31"/>
      <c r="AJ40" s="31"/>
      <c r="AK40" s="1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23" t="str">
        <f aca="false">TRACKER!AF9</f>
        <v>30</v>
      </c>
      <c r="H41" s="23" t="n">
        <f aca="false">IFERROR(SUM(TRACKER!AF10:AF19),0)</f>
        <v>0</v>
      </c>
      <c r="I41" s="50" t="n">
        <f aca="false">IFERROR(SUM(TRACKER!AF10:AF19)/10,0)</f>
        <v>0</v>
      </c>
      <c r="J41" s="23" t="n">
        <f aca="false">TRACKER!AF23</f>
        <v>0</v>
      </c>
      <c r="K41" s="21" t="n">
        <f aca="false">TRACKER!AF22</f>
        <v>0</v>
      </c>
      <c r="L41" s="3"/>
      <c r="M41" s="3"/>
      <c r="N41" s="3"/>
      <c r="O41" s="3"/>
      <c r="P41" s="3"/>
      <c r="Q41" s="3"/>
      <c r="R41" s="3"/>
      <c r="S41" s="3"/>
      <c r="T41" s="3"/>
      <c r="U41" s="3" t="n">
        <f aca="false">CONFIG!$C$6/100</f>
        <v>0.8</v>
      </c>
      <c r="V41" s="3"/>
      <c r="W41" s="3"/>
      <c r="X41" s="3"/>
      <c r="Y41" s="3"/>
      <c r="Z41" s="3"/>
      <c r="AA41" s="3"/>
      <c r="AB41" s="3"/>
      <c r="AC41" s="3"/>
      <c r="AD41" s="3"/>
      <c r="AE41" s="31"/>
      <c r="AF41" s="31"/>
      <c r="AG41" s="31"/>
      <c r="AH41" s="31"/>
      <c r="AI41" s="31"/>
      <c r="AJ41" s="31"/>
      <c r="AK41" s="1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23" t="str">
        <f aca="false">TRACKER!AG9</f>
        <v/>
      </c>
      <c r="H42" s="23" t="n">
        <f aca="false">IFERROR(SUM(TRACKER!AG10:AG19),0)</f>
        <v>0</v>
      </c>
      <c r="I42" s="50" t="n">
        <f aca="false">IFERROR(SUM(TRACKER!AG10:AG19)/10,0)</f>
        <v>0</v>
      </c>
      <c r="J42" s="23" t="n">
        <f aca="false">TRACKER!AG23</f>
        <v>0</v>
      </c>
      <c r="K42" s="21" t="n">
        <f aca="false">TRACKER!AG22</f>
        <v>0</v>
      </c>
      <c r="L42" s="3"/>
      <c r="M42" s="3"/>
      <c r="N42" s="3"/>
      <c r="O42" s="3"/>
      <c r="P42" s="3"/>
      <c r="Q42" s="3"/>
      <c r="R42" s="3"/>
      <c r="S42" s="3"/>
      <c r="T42" s="3"/>
      <c r="U42" s="3" t="n">
        <f aca="false">CONFIG!$C$6/100</f>
        <v>0.8</v>
      </c>
      <c r="V42" s="3"/>
      <c r="W42" s="3"/>
      <c r="X42" s="3"/>
      <c r="Y42" s="3"/>
      <c r="Z42" s="3"/>
      <c r="AA42" s="3"/>
      <c r="AB42" s="3"/>
      <c r="AC42" s="3"/>
      <c r="AD42" s="3"/>
      <c r="AE42" s="31"/>
      <c r="AF42" s="31"/>
      <c r="AG42" s="31"/>
      <c r="AH42" s="31"/>
      <c r="AI42" s="31"/>
      <c r="AJ42" s="31"/>
      <c r="AK42" s="1"/>
    </row>
    <row r="43" customFormat="false" ht="15" hidden="false" customHeight="true" outlineLevel="0" collapsed="false">
      <c r="A43" s="3"/>
      <c r="B43" s="51" t="s">
        <v>35</v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1"/>
      <c r="AF43" s="31"/>
      <c r="AG43" s="31"/>
      <c r="AH43" s="31"/>
      <c r="AI43" s="31"/>
      <c r="AJ43" s="31"/>
      <c r="AK43" s="1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1"/>
      <c r="AF44" s="31"/>
      <c r="AG44" s="31"/>
      <c r="AH44" s="31"/>
      <c r="AI44" s="31"/>
      <c r="AJ44" s="31"/>
      <c r="AK44" s="1"/>
    </row>
    <row r="45" customFormat="false" ht="15" hidden="false" customHeight="true" outlineLevel="0" collapsed="false">
      <c r="A45" s="3"/>
      <c r="B45" s="52" t="s">
        <v>36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1"/>
      <c r="AF45" s="31"/>
      <c r="AG45" s="31"/>
      <c r="AH45" s="31"/>
      <c r="AI45" s="31"/>
      <c r="AJ45" s="31"/>
      <c r="AK45" s="1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1"/>
      <c r="AF46" s="31"/>
      <c r="AG46" s="31"/>
      <c r="AH46" s="31"/>
      <c r="AI46" s="31"/>
      <c r="AJ46" s="31"/>
      <c r="AK46" s="1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1"/>
      <c r="AF47" s="31"/>
      <c r="AG47" s="31"/>
      <c r="AH47" s="31"/>
      <c r="AI47" s="31"/>
      <c r="AJ47" s="31"/>
      <c r="AK47" s="1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1"/>
      <c r="AF48" s="31"/>
      <c r="AG48" s="31"/>
      <c r="AH48" s="31"/>
      <c r="AI48" s="31"/>
      <c r="AJ48" s="31"/>
      <c r="AK48" s="1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1"/>
      <c r="AF49" s="31"/>
      <c r="AG49" s="31"/>
      <c r="AH49" s="31"/>
      <c r="AI49" s="31"/>
      <c r="AJ49" s="31"/>
      <c r="AK49" s="1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1"/>
      <c r="AF50" s="31"/>
      <c r="AG50" s="31"/>
      <c r="AH50" s="31"/>
      <c r="AI50" s="31"/>
      <c r="AJ50" s="31"/>
      <c r="AK50" s="1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1"/>
      <c r="AF51" s="31"/>
      <c r="AG51" s="31"/>
      <c r="AH51" s="31"/>
      <c r="AI51" s="31"/>
      <c r="AJ51" s="31"/>
      <c r="AK51" s="1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1"/>
      <c r="AF52" s="31"/>
      <c r="AG52" s="31"/>
      <c r="AH52" s="31"/>
      <c r="AI52" s="31"/>
      <c r="AJ52" s="31"/>
      <c r="AK52" s="1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1"/>
      <c r="AF53" s="31"/>
      <c r="AG53" s="31"/>
      <c r="AH53" s="31"/>
      <c r="AI53" s="31"/>
      <c r="AJ53" s="31"/>
      <c r="AK53" s="1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1"/>
      <c r="AF54" s="31"/>
      <c r="AG54" s="31"/>
      <c r="AH54" s="31"/>
      <c r="AI54" s="31"/>
      <c r="AJ54" s="31"/>
      <c r="AK54" s="1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1"/>
      <c r="AF55" s="31"/>
      <c r="AG55" s="31"/>
      <c r="AH55" s="31"/>
      <c r="AI55" s="31"/>
      <c r="AJ55" s="31"/>
      <c r="AK55" s="1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1"/>
      <c r="AF56" s="31"/>
      <c r="AG56" s="31"/>
      <c r="AH56" s="31"/>
      <c r="AI56" s="31"/>
      <c r="AJ56" s="31"/>
      <c r="AK56" s="1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1"/>
      <c r="AF57" s="31"/>
      <c r="AG57" s="31"/>
      <c r="AH57" s="31"/>
      <c r="AI57" s="31"/>
      <c r="AJ57" s="31"/>
      <c r="AK57" s="1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1"/>
      <c r="AF58" s="31"/>
      <c r="AG58" s="31"/>
      <c r="AH58" s="31"/>
      <c r="AI58" s="31"/>
      <c r="AJ58" s="31"/>
      <c r="AK58" s="1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1"/>
      <c r="AF59" s="31"/>
      <c r="AG59" s="31"/>
      <c r="AH59" s="31"/>
      <c r="AI59" s="31"/>
      <c r="AJ59" s="31"/>
      <c r="AK59" s="1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1"/>
      <c r="AF60" s="31"/>
      <c r="AG60" s="31"/>
      <c r="AH60" s="31"/>
      <c r="AI60" s="31"/>
      <c r="AJ60" s="31"/>
      <c r="AK60" s="1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 t="s">
        <v>32</v>
      </c>
      <c r="W61" s="3" t="s">
        <v>37</v>
      </c>
      <c r="X61" s="3"/>
      <c r="Y61" s="3"/>
      <c r="Z61" s="3"/>
      <c r="AA61" s="3"/>
      <c r="AB61" s="3"/>
      <c r="AC61" s="3"/>
      <c r="AD61" s="3"/>
      <c r="AE61" s="31"/>
      <c r="AF61" s="31"/>
      <c r="AG61" s="31"/>
      <c r="AH61" s="31"/>
      <c r="AI61" s="31"/>
      <c r="AJ61" s="31"/>
      <c r="AK61" s="1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 t="s">
        <v>38</v>
      </c>
      <c r="W62" s="53" t="n">
        <f aca="false">H5</f>
        <v>2</v>
      </c>
      <c r="X62" s="3"/>
      <c r="Y62" s="3"/>
      <c r="Z62" s="3"/>
      <c r="AA62" s="3"/>
      <c r="AB62" s="3"/>
      <c r="AC62" s="3"/>
      <c r="AD62" s="3"/>
      <c r="AE62" s="31"/>
      <c r="AF62" s="31"/>
      <c r="AG62" s="31"/>
      <c r="AH62" s="31"/>
      <c r="AI62" s="31"/>
      <c r="AJ62" s="31"/>
      <c r="AK62" s="1"/>
    </row>
    <row r="63" customFormat="false" ht="15" hidden="false" customHeight="true" outlineLevel="0" collapsed="false">
      <c r="A63" s="3"/>
      <c r="B63" s="54"/>
      <c r="C63" s="3"/>
      <c r="D63" s="3"/>
      <c r="E63" s="3"/>
      <c r="F63" s="3"/>
      <c r="G63" s="3"/>
      <c r="H63" s="3"/>
      <c r="I63" s="3"/>
      <c r="J63" s="5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 t="s">
        <v>39</v>
      </c>
      <c r="W63" s="3" t="n">
        <f aca="false">COUNTIF(TRACKER!C23:AG23,"NO")</f>
        <v>1</v>
      </c>
      <c r="X63" s="3"/>
      <c r="Y63" s="3"/>
      <c r="Z63" s="3"/>
      <c r="AA63" s="3"/>
      <c r="AB63" s="3"/>
      <c r="AC63" s="3"/>
      <c r="AD63" s="3"/>
      <c r="AE63" s="31"/>
      <c r="AF63" s="31"/>
      <c r="AG63" s="31"/>
      <c r="AH63" s="31"/>
      <c r="AI63" s="31"/>
      <c r="AJ63" s="31"/>
      <c r="AK63" s="1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 t="s">
        <v>40</v>
      </c>
      <c r="W64" s="53" t="n">
        <f aca="false">DAY(EOMONTH(DATE(CONFIG!C4,CONFIG!C5,1),0))-W62-W63</f>
        <v>27</v>
      </c>
      <c r="X64" s="3"/>
      <c r="Y64" s="3"/>
      <c r="Z64" s="3"/>
      <c r="AA64" s="3"/>
      <c r="AB64" s="3"/>
      <c r="AC64" s="3"/>
      <c r="AD64" s="3"/>
      <c r="AE64" s="31"/>
      <c r="AF64" s="31"/>
      <c r="AG64" s="31"/>
      <c r="AH64" s="31"/>
      <c r="AI64" s="31"/>
      <c r="AJ64" s="31"/>
      <c r="AK64" s="1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1"/>
      <c r="AF65" s="31"/>
      <c r="AG65" s="31"/>
      <c r="AH65" s="31"/>
      <c r="AI65" s="31"/>
      <c r="AJ65" s="31"/>
      <c r="AK65" s="1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1"/>
      <c r="AF66" s="31"/>
      <c r="AG66" s="31"/>
      <c r="AH66" s="31"/>
      <c r="AI66" s="31"/>
      <c r="AJ66" s="31"/>
      <c r="AK66" s="1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1"/>
      <c r="AF67" s="31"/>
      <c r="AG67" s="31"/>
      <c r="AH67" s="31"/>
      <c r="AI67" s="31"/>
      <c r="AJ67" s="31"/>
      <c r="AK67" s="1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1"/>
      <c r="AF68" s="31"/>
      <c r="AG68" s="31"/>
      <c r="AH68" s="31"/>
      <c r="AI68" s="31"/>
      <c r="AJ68" s="31"/>
      <c r="AK68" s="1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1"/>
      <c r="AF69" s="31"/>
      <c r="AG69" s="31"/>
      <c r="AH69" s="31"/>
      <c r="AI69" s="31"/>
      <c r="AJ69" s="31"/>
      <c r="AK69" s="1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1"/>
      <c r="AF70" s="31"/>
      <c r="AG70" s="31"/>
      <c r="AH70" s="31"/>
      <c r="AI70" s="31"/>
      <c r="AJ70" s="31"/>
      <c r="AK70" s="1"/>
    </row>
    <row r="71" customFormat="false" ht="15" hidden="false" customHeight="true" outlineLevel="0" collapsed="false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0"/>
      <c r="V71" s="30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"/>
    </row>
    <row r="72" customFormat="false" ht="15" hidden="false" customHeight="true" outlineLevel="0" collapsed="false">
      <c r="A72" s="30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0"/>
      <c r="V72" s="30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"/>
    </row>
    <row r="73" customFormat="false" ht="15" hidden="false" customHeight="true" outlineLevel="0" collapsed="false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0"/>
      <c r="V73" s="30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"/>
    </row>
    <row r="74" customFormat="false" ht="15" hidden="false" customHeight="true" outlineLevel="0" collapsed="false">
      <c r="A74" s="30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0"/>
      <c r="V74" s="30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"/>
    </row>
    <row r="75" customFormat="false" ht="15" hidden="false" customHeight="true" outlineLevel="0" collapsed="false">
      <c r="A75" s="30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0"/>
      <c r="V75" s="30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"/>
    </row>
    <row r="76" customFormat="false" ht="15" hidden="false" customHeight="true" outlineLevel="0" collapsed="false">
      <c r="A76" s="30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0"/>
      <c r="V76" s="30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"/>
    </row>
    <row r="77" customFormat="false" ht="15" hidden="false" customHeight="true" outlineLevel="0" collapsed="false">
      <c r="A77" s="30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0"/>
      <c r="V77" s="30"/>
      <c r="W77" s="30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"/>
    </row>
    <row r="78" customFormat="false" ht="15" hidden="false" customHeight="true" outlineLevel="0" collapsed="false">
      <c r="A78" s="30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0"/>
      <c r="V78" s="30"/>
      <c r="W78" s="30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1"/>
    </row>
    <row r="79" customFormat="false" ht="15" hidden="false" customHeight="true" outlineLevel="0" collapsed="false">
      <c r="A79" s="30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0"/>
      <c r="V79" s="30"/>
      <c r="W79" s="30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1"/>
    </row>
    <row r="80" customFormat="false" ht="15" hidden="false" customHeight="true" outlineLevel="0" collapsed="false">
      <c r="A80" s="30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0"/>
      <c r="V80" s="30"/>
      <c r="W80" s="30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1"/>
    </row>
    <row r="81" customFormat="false" ht="15" hidden="false" customHeight="true" outlineLevel="0" collapsed="false">
      <c r="A81" s="30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0"/>
      <c r="V81" s="30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1"/>
    </row>
    <row r="82" customFormat="false" ht="15" hidden="false" customHeight="true" outlineLevel="0" collapsed="false">
      <c r="A82" s="30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0"/>
      <c r="V82" s="30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1"/>
    </row>
    <row r="83" customFormat="false" ht="15" hidden="false" customHeight="true" outlineLevel="0" collapsed="false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0"/>
      <c r="V83" s="30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1"/>
    </row>
    <row r="84" customFormat="false" ht="15" hidden="false" customHeight="true" outlineLevel="0" collapsed="false">
      <c r="A84" s="30"/>
      <c r="B84" s="54"/>
      <c r="C84" s="31"/>
      <c r="D84" s="31"/>
      <c r="E84" s="31"/>
      <c r="F84" s="31"/>
      <c r="G84" s="31"/>
      <c r="H84" s="31"/>
      <c r="I84" s="31"/>
      <c r="J84" s="54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0"/>
      <c r="V84" s="30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1"/>
    </row>
    <row r="85" customFormat="false" ht="15" hidden="false" customHeight="true" outlineLevel="0" collapsed="false">
      <c r="A85" s="30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0"/>
      <c r="V85" s="30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1"/>
    </row>
    <row r="86" customFormat="false" ht="15" hidden="false" customHeight="true" outlineLevel="0" collapsed="false">
      <c r="A86" s="30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0"/>
      <c r="V86" s="30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1"/>
    </row>
    <row r="87" customFormat="false" ht="15" hidden="false" customHeight="true" outlineLevel="0" collapsed="false">
      <c r="A87" s="30"/>
      <c r="B87" s="52" t="s">
        <v>41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0"/>
      <c r="V87" s="30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1"/>
    </row>
    <row r="88" customFormat="false" ht="15" hidden="false" customHeight="true" outlineLevel="0" collapsed="false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0"/>
      <c r="V88" s="30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1"/>
    </row>
    <row r="89" customFormat="false" ht="15" hidden="false" customHeight="true" outlineLevel="0" collapsed="false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0"/>
      <c r="V89" s="30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1"/>
    </row>
    <row r="90" customFormat="false" ht="15" hidden="false" customHeight="true" outlineLevel="0" collapsed="false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0"/>
      <c r="V90" s="30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1"/>
    </row>
    <row r="91" customFormat="false" ht="15" hidden="false" customHeight="true" outlineLevel="0" collapsed="false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0"/>
      <c r="V91" s="30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1"/>
    </row>
    <row r="92" customFormat="false" ht="15" hidden="false" customHeight="true" outlineLevel="0" collapsed="false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0"/>
      <c r="V92" s="30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1"/>
    </row>
    <row r="93" customFormat="false" ht="15" hidden="false" customHeight="true" outlineLevel="0" collapsed="false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0"/>
      <c r="V93" s="30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1"/>
    </row>
    <row r="94" customFormat="false" ht="15" hidden="false" customHeight="true" outlineLevel="0" collapsed="false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0"/>
      <c r="V94" s="30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1"/>
    </row>
    <row r="95" customFormat="false" ht="15" hidden="false" customHeight="true" outlineLevel="0" collapsed="false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0"/>
      <c r="V95" s="30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1"/>
    </row>
    <row r="96" customFormat="false" ht="15" hidden="false" customHeight="true" outlineLevel="0" collapsed="false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0"/>
      <c r="V96" s="30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1"/>
    </row>
    <row r="97" customFormat="false" ht="15" hidden="false" customHeight="true" outlineLevel="0" collapsed="false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0"/>
      <c r="V97" s="30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1"/>
    </row>
    <row r="98" customFormat="false" ht="15" hidden="false" customHeight="true" outlineLevel="0" collapsed="false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0"/>
      <c r="V98" s="30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1"/>
    </row>
    <row r="99" customFormat="false" ht="15" hidden="false" customHeight="true" outlineLevel="0" collapsed="false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0"/>
      <c r="V99" s="30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1"/>
    </row>
    <row r="100" customFormat="false" ht="15" hidden="false" customHeight="true" outlineLevel="0" collapsed="false">
      <c r="A100" s="30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0"/>
      <c r="V100" s="30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1"/>
    </row>
    <row r="101" customFormat="false" ht="15" hidden="false" customHeight="true" outlineLevel="0" collapsed="false">
      <c r="A101" s="30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0"/>
      <c r="V101" s="30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1"/>
    </row>
    <row r="102" customFormat="false" ht="15" hidden="false" customHeight="true" outlineLevel="0" collapsed="false">
      <c r="A102" s="30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0"/>
      <c r="V102" s="30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1"/>
    </row>
    <row r="103" customFormat="false" ht="15" hidden="false" customHeight="true" outlineLevel="0" collapsed="false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0"/>
      <c r="V103" s="30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1"/>
    </row>
    <row r="104" customFormat="false" ht="15" hidden="false" customHeight="true" outlineLevel="0" collapsed="false">
      <c r="A104" s="30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0"/>
      <c r="V104" s="30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"/>
    </row>
    <row r="105" customFormat="false" ht="15" hidden="false" customHeight="true" outlineLevel="0" collapsed="false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0"/>
      <c r="V105" s="30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1"/>
    </row>
    <row r="106" customFormat="false" ht="15" hidden="false" customHeight="true" outlineLevel="0" collapsed="false">
      <c r="A106" s="30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0"/>
      <c r="V106" s="30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1"/>
    </row>
    <row r="107" customFormat="false" ht="15" hidden="false" customHeight="true" outlineLevel="0" collapsed="false">
      <c r="A107" s="30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0"/>
      <c r="V107" s="30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1"/>
    </row>
    <row r="108" customFormat="false" ht="15" hidden="false" customHeight="true" outlineLevel="0" collapsed="false">
      <c r="A108" s="30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0"/>
      <c r="V108" s="30"/>
      <c r="W108" s="30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1"/>
    </row>
    <row r="109" customFormat="false" ht="15" hidden="false" customHeight="true" outlineLevel="0" collapsed="false">
      <c r="A109" s="30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0"/>
      <c r="V109" s="30"/>
      <c r="W109" s="30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1"/>
    </row>
    <row r="110" customFormat="false" ht="15" hidden="false" customHeight="true" outlineLevel="0" collapsed="false">
      <c r="A110" s="30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0"/>
      <c r="V110" s="30"/>
      <c r="W110" s="30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1"/>
    </row>
    <row r="111" customFormat="false" ht="15" hidden="false" customHeight="true" outlineLevel="0" collapsed="false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0"/>
      <c r="V111" s="30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"/>
    </row>
    <row r="112" customFormat="false" ht="15" hidden="false" customHeight="true" outlineLevel="0" collapsed="false">
      <c r="A112" s="30"/>
      <c r="B112" s="54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0"/>
      <c r="V112" s="30"/>
      <c r="W112" s="30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1"/>
    </row>
    <row r="113" customFormat="false" ht="15" hidden="false" customHeight="true" outlineLevel="0" collapsed="false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0"/>
      <c r="V113" s="30"/>
      <c r="W113" s="30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1"/>
    </row>
    <row r="114" customFormat="false" ht="19.5" hidden="false" customHeight="true" outlineLevel="0" collapsed="false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55" t="s">
        <v>42</v>
      </c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1"/>
    </row>
    <row r="115" customFormat="false" ht="21.75" hidden="false" customHeight="true" outlineLevel="0" collapsed="false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56" t="str">
        <f aca="false">UPPER(TEXT(DATE(CONFIG!$C$4,CONFIG!$C$5,1),"ddd d"))</f>
        <v>TUE 1</v>
      </c>
      <c r="Y115" s="31"/>
      <c r="Z115" s="56" t="str">
        <f aca="false">UPPER(TEXT(DATE(CONFIG!$C$4,CONFIG!$C$5,2),"ddd d"))</f>
        <v>WED 2</v>
      </c>
      <c r="AA115" s="31"/>
      <c r="AB115" s="56" t="str">
        <f aca="false">UPPER(TEXT(DATE(CONFIG!$C$4,CONFIG!$C$5,3),"ddd d"))</f>
        <v>THU 3</v>
      </c>
      <c r="AC115" s="31"/>
      <c r="AD115" s="56" t="str">
        <f aca="false">UPPER(TEXT(DATE(CONFIG!$C$4,CONFIG!$C$5,4),"ddd d"))</f>
        <v>FRI 4</v>
      </c>
      <c r="AE115" s="31"/>
      <c r="AF115" s="56" t="str">
        <f aca="false">UPPER(TEXT(DATE(CONFIG!$C$4,CONFIG!$C$5,5),"ddd d"))</f>
        <v>SAT 5</v>
      </c>
      <c r="AG115" s="31"/>
      <c r="AH115" s="56" t="str">
        <f aca="false">UPPER(TEXT(DATE(CONFIG!$C$4,CONFIG!$C$5,6),"ddd d"))</f>
        <v>SUN 6</v>
      </c>
      <c r="AI115" s="31"/>
      <c r="AJ115" s="56" t="str">
        <f aca="false">UPPER(TEXT(DATE(CONFIG!$C$4,CONFIG!$C$5,7),"ddd d"))</f>
        <v>MON 7</v>
      </c>
      <c r="AK115" s="1"/>
    </row>
    <row r="116" customFormat="false" ht="91.5" hidden="false" customHeight="true" outlineLevel="0" collapsed="false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57" t="str">
        <f aca="false">TEXT(X130,"0%")</f>
        <v>10%</v>
      </c>
      <c r="Y116" s="31"/>
      <c r="Z116" s="57" t="str">
        <f aca="false">TEXT(Z130,"0%")</f>
        <v>0%</v>
      </c>
      <c r="AA116" s="31"/>
      <c r="AB116" s="57" t="str">
        <f aca="false">TEXT(AB130,"0%")</f>
        <v>10%</v>
      </c>
      <c r="AC116" s="31"/>
      <c r="AD116" s="57" t="str">
        <f aca="false">TEXT(AD130,"0%")</f>
        <v>0%</v>
      </c>
      <c r="AE116" s="31"/>
      <c r="AF116" s="57" t="str">
        <f aca="false">TEXT(AF130,"0%")</f>
        <v>0%</v>
      </c>
      <c r="AG116" s="31"/>
      <c r="AH116" s="57" t="str">
        <f aca="false">TEXT(AH130,"0%")</f>
        <v>0%</v>
      </c>
      <c r="AI116" s="31"/>
      <c r="AJ116" s="57" t="str">
        <f aca="false">TEXT(AJ130,"0%")</f>
        <v>0%</v>
      </c>
      <c r="AK116" s="1"/>
    </row>
    <row r="117" customFormat="false" ht="21.75" hidden="false" customHeight="true" outlineLevel="0" collapsed="false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58" t="str">
        <f aca="false">ROUND(X130*10,0)&amp;"/10 hábitos"</f>
        <v>1/10 hábitos</v>
      </c>
      <c r="Y117" s="31"/>
      <c r="Z117" s="58" t="str">
        <f aca="false">ROUND(Z130*10,0)&amp;"/10 hábitos"</f>
        <v>0/10 hábitos</v>
      </c>
      <c r="AA117" s="31"/>
      <c r="AB117" s="58" t="str">
        <f aca="false">ROUND(AB130*10,0)&amp;"/10 hábitos"</f>
        <v>1/10 hábitos</v>
      </c>
      <c r="AC117" s="31"/>
      <c r="AD117" s="58" t="str">
        <f aca="false">ROUND(AD130*10,0)&amp;"/10 hábitos"</f>
        <v>0/10 hábitos</v>
      </c>
      <c r="AE117" s="31"/>
      <c r="AF117" s="58" t="str">
        <f aca="false">ROUND(AF130*10,0)&amp;"/10 hábitos"</f>
        <v>0/10 hábitos</v>
      </c>
      <c r="AG117" s="31"/>
      <c r="AH117" s="58" t="str">
        <f aca="false">ROUND(AH130*10,0)&amp;"/10 hábitos"</f>
        <v>0/10 hábitos</v>
      </c>
      <c r="AI117" s="31"/>
      <c r="AJ117" s="58" t="str">
        <f aca="false">ROUND(AJ130*10,0)&amp;"/10 hábitos"</f>
        <v>0/10 hábitos</v>
      </c>
      <c r="AK117" s="1"/>
    </row>
    <row r="118" customFormat="false" ht="15" hidden="false" customHeight="true" outlineLevel="0" collapsed="false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1"/>
    </row>
    <row r="119" customFormat="false" ht="15" hidden="false" customHeight="true" outlineLevel="0" collapsed="false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"/>
    </row>
    <row r="120" customFormat="false" ht="15.75" hidden="false" customHeight="true" outlineLevel="0" collapsed="false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1"/>
    </row>
    <row r="121" customFormat="false" ht="15.75" hidden="false" customHeight="true" outlineLevel="0" collapsed="false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1"/>
    </row>
    <row r="122" customFormat="false" ht="15.75" hidden="false" customHeight="true" outlineLevel="0" collapsed="false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1"/>
    </row>
    <row r="123" customFormat="false" ht="15.75" hidden="false" customHeight="true" outlineLevel="0" collapsed="false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1"/>
    </row>
    <row r="124" customFormat="false" ht="15.75" hidden="false" customHeight="true" outlineLevel="0" collapsed="false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1"/>
    </row>
    <row r="125" customFormat="false" ht="15.75" hidden="false" customHeight="true" outlineLevel="0" collapsed="false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1"/>
    </row>
    <row r="126" customFormat="false" ht="15.75" hidden="false" customHeight="true" outlineLevel="0" collapsed="false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1"/>
    </row>
    <row r="127" customFormat="false" ht="15.75" hidden="false" customHeight="true" outlineLevel="0" collapsed="false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1"/>
    </row>
    <row r="128" customFormat="false" ht="15.75" hidden="false" customHeight="true" outlineLevel="0" collapsed="false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1"/>
    </row>
    <row r="129" customFormat="false" ht="15.75" hidden="false" customHeight="true" outlineLevel="0" collapsed="false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1"/>
    </row>
    <row r="130" customFormat="false" ht="15" hidden="true" customHeight="true" outlineLevel="0" collapsed="false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 t="n">
        <f aca="false">TRACKER!C36</f>
        <v>0.1</v>
      </c>
      <c r="Y130" s="30"/>
      <c r="Z130" s="30" t="n">
        <f aca="false">TRACKER!D36</f>
        <v>0</v>
      </c>
      <c r="AA130" s="30"/>
      <c r="AB130" s="30" t="n">
        <f aca="false">TRACKER!E36</f>
        <v>0.1</v>
      </c>
      <c r="AC130" s="30"/>
      <c r="AD130" s="30" t="n">
        <f aca="false">TRACKER!F36</f>
        <v>0</v>
      </c>
      <c r="AE130" s="30"/>
      <c r="AF130" s="30" t="n">
        <f aca="false">TRACKER!G36</f>
        <v>0</v>
      </c>
      <c r="AG130" s="30"/>
      <c r="AH130" s="30" t="n">
        <f aca="false">TRACKER!H36</f>
        <v>0</v>
      </c>
      <c r="AI130" s="30"/>
      <c r="AJ130" s="30" t="n">
        <f aca="false">TRACKER!I36</f>
        <v>0</v>
      </c>
      <c r="AK130" s="1"/>
    </row>
    <row r="131" customFormat="false" ht="15" hidden="true" customHeight="true" outlineLevel="0" collapsed="false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 t="n">
        <f aca="false">1-X130</f>
        <v>0.9</v>
      </c>
      <c r="Y131" s="30"/>
      <c r="Z131" s="30" t="n">
        <f aca="false">1-Z130</f>
        <v>1</v>
      </c>
      <c r="AA131" s="30"/>
      <c r="AB131" s="30" t="n">
        <f aca="false">1-AB130</f>
        <v>0.9</v>
      </c>
      <c r="AC131" s="30"/>
      <c r="AD131" s="30" t="n">
        <f aca="false">1-AD130</f>
        <v>1</v>
      </c>
      <c r="AE131" s="30"/>
      <c r="AF131" s="30" t="n">
        <f aca="false">1-AF130</f>
        <v>1</v>
      </c>
      <c r="AG131" s="30"/>
      <c r="AH131" s="30" t="n">
        <f aca="false">1-AH130</f>
        <v>1</v>
      </c>
      <c r="AI131" s="30"/>
      <c r="AJ131" s="30" t="n">
        <f aca="false">1-AJ130</f>
        <v>1</v>
      </c>
      <c r="AK131" s="1"/>
    </row>
    <row r="134" customFormat="false" ht="15" hidden="false" customHeight="true" outlineLevel="0" collapsed="false">
      <c r="B134" s="52" t="s">
        <v>43</v>
      </c>
    </row>
    <row r="136" customFormat="false" ht="15" hidden="false" customHeight="true" outlineLevel="0" collapsed="false">
      <c r="B136" s="59" t="s">
        <v>44</v>
      </c>
      <c r="C136" s="60" t="n">
        <f aca="false">IFERROR(AVERAGEIF(TRACKER!C25:AG25,"&gt;0"),0)</f>
        <v>0</v>
      </c>
      <c r="D136" s="59" t="s">
        <v>45</v>
      </c>
      <c r="E136" s="61" t="n">
        <f aca="false">CONFIG!F4</f>
        <v>8</v>
      </c>
      <c r="G136" s="59" t="s">
        <v>46</v>
      </c>
      <c r="H136" s="62" t="n">
        <f aca="false">IFERROR(AVERAGEIF(TRACKER!C26:AG26,"&gt;0"),0)</f>
        <v>0</v>
      </c>
      <c r="I136" s="59" t="s">
        <v>45</v>
      </c>
      <c r="J136" s="62" t="n">
        <f aca="false">CONFIG!F5</f>
        <v>2000</v>
      </c>
    </row>
    <row r="150" customFormat="false" ht="15" hidden="false" customHeight="true" outlineLevel="0" collapsed="false">
      <c r="B150" s="63" t="s">
        <v>47</v>
      </c>
      <c r="J150" s="63" t="s">
        <v>48</v>
      </c>
    </row>
  </sheetData>
  <mergeCells count="16">
    <mergeCell ref="B2:T2"/>
    <mergeCell ref="B3:T3"/>
    <mergeCell ref="B4:D4"/>
    <mergeCell ref="E4:G4"/>
    <mergeCell ref="H4:J4"/>
    <mergeCell ref="K4:M4"/>
    <mergeCell ref="N4:P4"/>
    <mergeCell ref="Q4:T4"/>
    <mergeCell ref="B5:D8"/>
    <mergeCell ref="E5:G8"/>
    <mergeCell ref="H5:J8"/>
    <mergeCell ref="K5:M8"/>
    <mergeCell ref="N5:P8"/>
    <mergeCell ref="Q5:T8"/>
    <mergeCell ref="B43:T43"/>
    <mergeCell ref="X114:AJ1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A6"/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45"/>
    <col collapsed="false" customWidth="true" hidden="false" outlineLevel="0" max="8" min="5" style="1" width="8.71"/>
  </cols>
  <sheetData>
    <row r="1" customFormat="false" ht="1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1"/>
      <c r="J1" s="1"/>
      <c r="K1" s="1"/>
    </row>
    <row r="2" customFormat="false" ht="24" hidden="false" customHeight="true" outlineLevel="0" collapsed="false">
      <c r="A2" s="3"/>
      <c r="B2" s="64" t="s">
        <v>49</v>
      </c>
      <c r="C2" s="3"/>
      <c r="D2" s="3"/>
      <c r="E2" s="3"/>
      <c r="F2" s="3"/>
      <c r="G2" s="3"/>
      <c r="H2" s="3"/>
      <c r="I2" s="1"/>
      <c r="J2" s="1"/>
      <c r="K2" s="1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customFormat="false" ht="15" hidden="false" customHeight="true" outlineLevel="0" collapsed="false">
      <c r="A4" s="3"/>
      <c r="B4" s="65" t="s">
        <v>50</v>
      </c>
      <c r="C4" s="66" t="n">
        <v>2026</v>
      </c>
      <c r="D4" s="3"/>
      <c r="E4" s="67" t="s">
        <v>51</v>
      </c>
      <c r="F4" s="68" t="n">
        <v>8</v>
      </c>
      <c r="G4" s="3"/>
      <c r="H4" s="3"/>
      <c r="I4" s="1"/>
      <c r="J4" s="1"/>
      <c r="K4" s="1"/>
    </row>
    <row r="5" customFormat="false" ht="15" hidden="false" customHeight="true" outlineLevel="0" collapsed="false">
      <c r="A5" s="3"/>
      <c r="B5" s="65" t="s">
        <v>52</v>
      </c>
      <c r="C5" s="66" t="n">
        <v>9</v>
      </c>
      <c r="D5" s="3"/>
      <c r="E5" s="67" t="s">
        <v>53</v>
      </c>
      <c r="F5" s="68" t="n">
        <v>2000</v>
      </c>
      <c r="G5" s="3"/>
      <c r="H5" s="3"/>
      <c r="I5" s="1"/>
      <c r="J5" s="1"/>
      <c r="K5" s="1"/>
    </row>
    <row r="6" customFormat="false" ht="15" hidden="false" customHeight="true" outlineLevel="0" collapsed="false">
      <c r="A6" s="3"/>
      <c r="B6" s="65" t="s">
        <v>54</v>
      </c>
      <c r="C6" s="66" t="n">
        <v>80</v>
      </c>
      <c r="D6" s="3" t="s">
        <v>55</v>
      </c>
      <c r="E6" s="3"/>
      <c r="F6" s="3"/>
      <c r="G6" s="3"/>
      <c r="H6" s="3"/>
      <c r="I6" s="1"/>
      <c r="J6" s="1"/>
      <c r="K6" s="1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1"/>
      <c r="J7" s="1"/>
      <c r="K7" s="1"/>
    </row>
    <row r="8" customFormat="false" ht="15" hidden="false" customHeight="true" outlineLevel="0" collapsed="false">
      <c r="A8" s="3"/>
      <c r="B8" s="69" t="s">
        <v>56</v>
      </c>
      <c r="C8" s="3"/>
      <c r="D8" s="3"/>
      <c r="E8" s="3"/>
      <c r="F8" s="3"/>
      <c r="G8" s="3"/>
      <c r="H8" s="3"/>
      <c r="I8" s="1"/>
      <c r="J8" s="1"/>
      <c r="K8" s="1"/>
    </row>
    <row r="9" customFormat="false" ht="15" hidden="false" customHeight="true" outlineLevel="0" collapsed="false">
      <c r="A9" s="3"/>
      <c r="B9" s="66" t="s">
        <v>57</v>
      </c>
      <c r="C9" s="3"/>
      <c r="D9" s="3"/>
      <c r="E9" s="3"/>
      <c r="F9" s="3"/>
      <c r="G9" s="3"/>
      <c r="H9" s="3"/>
      <c r="I9" s="1"/>
      <c r="J9" s="1"/>
      <c r="K9" s="1"/>
    </row>
    <row r="10" customFormat="false" ht="15" hidden="false" customHeight="true" outlineLevel="0" collapsed="false">
      <c r="A10" s="3"/>
      <c r="B10" s="66" t="s">
        <v>58</v>
      </c>
      <c r="C10" s="3"/>
      <c r="D10" s="3"/>
      <c r="E10" s="3"/>
      <c r="F10" s="3"/>
      <c r="G10" s="3"/>
      <c r="H10" s="3"/>
      <c r="I10" s="1"/>
      <c r="J10" s="1"/>
      <c r="K10" s="1"/>
    </row>
    <row r="11" customFormat="false" ht="15" hidden="false" customHeight="true" outlineLevel="0" collapsed="false">
      <c r="A11" s="3"/>
      <c r="B11" s="66" t="s">
        <v>59</v>
      </c>
      <c r="C11" s="3"/>
      <c r="D11" s="3"/>
      <c r="E11" s="3"/>
      <c r="F11" s="3"/>
      <c r="G11" s="3"/>
      <c r="H11" s="3"/>
      <c r="I11" s="1"/>
      <c r="J11" s="1"/>
      <c r="K11" s="1"/>
    </row>
    <row r="12" customFormat="false" ht="15" hidden="false" customHeight="true" outlineLevel="0" collapsed="false">
      <c r="A12" s="3"/>
      <c r="B12" s="66" t="s">
        <v>60</v>
      </c>
      <c r="C12" s="3"/>
      <c r="D12" s="3"/>
      <c r="E12" s="3"/>
      <c r="F12" s="3"/>
      <c r="G12" s="3"/>
      <c r="H12" s="3"/>
      <c r="I12" s="1"/>
      <c r="J12" s="1"/>
      <c r="K12" s="1"/>
    </row>
    <row r="13" customFormat="false" ht="15" hidden="false" customHeight="true" outlineLevel="0" collapsed="false">
      <c r="A13" s="3"/>
      <c r="B13" s="66" t="s">
        <v>61</v>
      </c>
      <c r="C13" s="3"/>
      <c r="D13" s="3"/>
      <c r="E13" s="3"/>
      <c r="F13" s="3"/>
      <c r="G13" s="3"/>
      <c r="H13" s="3"/>
      <c r="I13" s="1"/>
      <c r="J13" s="1"/>
      <c r="K13" s="1"/>
    </row>
    <row r="14" customFormat="false" ht="15" hidden="false" customHeight="true" outlineLevel="0" collapsed="false">
      <c r="A14" s="3"/>
      <c r="B14" s="66" t="s">
        <v>62</v>
      </c>
      <c r="C14" s="3"/>
      <c r="D14" s="3"/>
      <c r="E14" s="3"/>
      <c r="F14" s="3"/>
      <c r="G14" s="3"/>
      <c r="H14" s="3"/>
      <c r="I14" s="1"/>
      <c r="J14" s="1"/>
      <c r="K14" s="1"/>
    </row>
    <row r="15" customFormat="false" ht="15" hidden="false" customHeight="true" outlineLevel="0" collapsed="false">
      <c r="A15" s="3"/>
      <c r="B15" s="66" t="s">
        <v>63</v>
      </c>
      <c r="C15" s="3"/>
      <c r="D15" s="3"/>
      <c r="E15" s="3"/>
      <c r="F15" s="3"/>
      <c r="G15" s="3"/>
      <c r="H15" s="3"/>
      <c r="I15" s="1"/>
      <c r="J15" s="1"/>
      <c r="K15" s="1"/>
    </row>
    <row r="16" customFormat="false" ht="15" hidden="false" customHeight="true" outlineLevel="0" collapsed="false">
      <c r="A16" s="3"/>
      <c r="B16" s="66" t="s">
        <v>64</v>
      </c>
      <c r="C16" s="3"/>
      <c r="D16" s="3"/>
      <c r="E16" s="3"/>
      <c r="F16" s="3"/>
      <c r="G16" s="3"/>
      <c r="H16" s="3"/>
      <c r="I16" s="1"/>
      <c r="J16" s="1"/>
      <c r="K16" s="1"/>
    </row>
    <row r="17" customFormat="false" ht="15" hidden="false" customHeight="true" outlineLevel="0" collapsed="false">
      <c r="A17" s="3"/>
      <c r="B17" s="66" t="s">
        <v>65</v>
      </c>
      <c r="C17" s="3"/>
      <c r="D17" s="3"/>
      <c r="E17" s="3"/>
      <c r="F17" s="3"/>
      <c r="G17" s="3"/>
      <c r="H17" s="3"/>
      <c r="I17" s="1"/>
      <c r="J17" s="1"/>
      <c r="K17" s="1"/>
    </row>
    <row r="18" customFormat="false" ht="15" hidden="false" customHeight="true" outlineLevel="0" collapsed="false">
      <c r="A18" s="3"/>
      <c r="B18" s="66" t="s">
        <v>66</v>
      </c>
      <c r="C18" s="3"/>
      <c r="D18" s="3"/>
      <c r="E18" s="3"/>
      <c r="F18" s="3"/>
      <c r="G18" s="3"/>
      <c r="H18" s="3"/>
      <c r="I18" s="1"/>
      <c r="J18" s="1"/>
      <c r="K18" s="1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1"/>
      <c r="J19" s="1"/>
      <c r="K19" s="1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1"/>
      <c r="J20" s="1"/>
      <c r="K20" s="1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1"/>
      <c r="J21" s="1"/>
      <c r="K21" s="1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1"/>
      <c r="J22" s="1"/>
      <c r="K22" s="1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1"/>
      <c r="J23" s="1"/>
      <c r="K23" s="1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1"/>
      <c r="J24" s="1"/>
      <c r="K24" s="1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1"/>
      <c r="J25" s="1"/>
      <c r="K25" s="1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1"/>
      <c r="J26" s="1"/>
      <c r="K26" s="1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1"/>
      <c r="J27" s="1"/>
      <c r="K27" s="1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1"/>
      <c r="J28" s="1"/>
      <c r="K28" s="1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1"/>
      <c r="J29" s="1"/>
      <c r="K29" s="1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1"/>
      <c r="J30" s="1"/>
      <c r="K30" s="1"/>
    </row>
    <row r="31" customFormat="false" ht="15.75" hidden="false" customHeight="true" outlineLevel="0" collapsed="false">
      <c r="B31" s="30"/>
      <c r="C31" s="30"/>
      <c r="D31" s="30"/>
      <c r="I31" s="1"/>
      <c r="J31" s="1"/>
      <c r="K31" s="1"/>
    </row>
    <row r="32" customFormat="false" ht="15.75" hidden="false" customHeight="true" outlineLevel="0" collapsed="false">
      <c r="B32" s="30"/>
      <c r="C32" s="30"/>
      <c r="D32" s="30"/>
      <c r="I32" s="1"/>
      <c r="J32" s="1"/>
      <c r="K32" s="1"/>
    </row>
    <row r="33" customFormat="false" ht="15.75" hidden="false" customHeight="true" outlineLevel="0" collapsed="false">
      <c r="B33" s="30"/>
      <c r="C33" s="30"/>
      <c r="D33" s="30"/>
      <c r="I33" s="1"/>
      <c r="J33" s="1"/>
      <c r="K33" s="1"/>
    </row>
    <row r="34" customFormat="false" ht="15.75" hidden="false" customHeight="true" outlineLevel="0" collapsed="false">
      <c r="B34" s="30"/>
      <c r="C34" s="30"/>
      <c r="D34" s="30"/>
      <c r="I34" s="1"/>
      <c r="J34" s="1"/>
      <c r="K34" s="1"/>
    </row>
    <row r="35" customFormat="false" ht="15.75" hidden="false" customHeight="true" outlineLevel="0" collapsed="false">
      <c r="B35" s="30"/>
      <c r="C35" s="30"/>
      <c r="D35" s="30"/>
      <c r="I35" s="1"/>
      <c r="J35" s="1"/>
      <c r="K35" s="1"/>
    </row>
    <row r="36" customFormat="false" ht="15.75" hidden="false" customHeight="true" outlineLevel="0" collapsed="false">
      <c r="B36" s="30"/>
      <c r="C36" s="30"/>
      <c r="D36" s="30"/>
      <c r="I36" s="1"/>
      <c r="J36" s="1"/>
      <c r="K36" s="1"/>
    </row>
    <row r="37" customFormat="false" ht="15.75" hidden="false" customHeight="true" outlineLevel="0" collapsed="false">
      <c r="B37" s="30"/>
      <c r="C37" s="30"/>
      <c r="D37" s="30"/>
      <c r="I37" s="1"/>
      <c r="J37" s="1"/>
      <c r="K37" s="1"/>
    </row>
    <row r="38" customFormat="false" ht="15.75" hidden="false" customHeight="true" outlineLevel="0" collapsed="false">
      <c r="B38" s="30"/>
      <c r="C38" s="30"/>
      <c r="D38" s="30"/>
      <c r="I38" s="1"/>
      <c r="J38" s="1"/>
      <c r="K38" s="1"/>
    </row>
    <row r="39" customFormat="false" ht="15.75" hidden="false" customHeight="true" outlineLevel="0" collapsed="false">
      <c r="B39" s="30"/>
      <c r="C39" s="30"/>
      <c r="D39" s="30"/>
      <c r="I39" s="1"/>
      <c r="J39" s="1"/>
      <c r="K39" s="1"/>
    </row>
    <row r="40" customFormat="false" ht="15.75" hidden="false" customHeight="true" outlineLevel="0" collapsed="false">
      <c r="B40" s="30"/>
      <c r="C40" s="30"/>
      <c r="D40" s="30"/>
      <c r="I40" s="1"/>
      <c r="J40" s="1"/>
      <c r="K40" s="1"/>
    </row>
    <row r="41" customFormat="false" ht="15.75" hidden="false" customHeight="true" outlineLevel="0" collapsed="false">
      <c r="B41" s="30"/>
      <c r="C41" s="30"/>
      <c r="D41" s="30"/>
      <c r="I41" s="1"/>
      <c r="J41" s="1"/>
      <c r="K41" s="1"/>
    </row>
    <row r="42" customFormat="false" ht="15.75" hidden="false" customHeight="true" outlineLevel="0" collapsed="false">
      <c r="B42" s="30"/>
      <c r="C42" s="30"/>
      <c r="D42" s="30"/>
      <c r="I42" s="1"/>
      <c r="J42" s="1"/>
      <c r="K42" s="1"/>
    </row>
    <row r="43" customFormat="false" ht="15.75" hidden="false" customHeight="true" outlineLevel="0" collapsed="false">
      <c r="B43" s="30"/>
      <c r="C43" s="30"/>
      <c r="D43" s="30"/>
      <c r="I43" s="1"/>
      <c r="J43" s="1"/>
      <c r="K43" s="1"/>
    </row>
    <row r="44" customFormat="false" ht="15.75" hidden="false" customHeight="true" outlineLevel="0" collapsed="false">
      <c r="B44" s="30"/>
      <c r="C44" s="30"/>
      <c r="D44" s="30"/>
      <c r="I44" s="1"/>
      <c r="J44" s="1"/>
      <c r="K44" s="1"/>
    </row>
    <row r="45" customFormat="false" ht="15.75" hidden="false" customHeight="true" outlineLevel="0" collapsed="false">
      <c r="B45" s="30"/>
      <c r="C45" s="30"/>
      <c r="D45" s="30"/>
      <c r="I45" s="1"/>
      <c r="J45" s="1"/>
      <c r="K45" s="1"/>
    </row>
    <row r="46" customFormat="false" ht="15.75" hidden="false" customHeight="true" outlineLevel="0" collapsed="false">
      <c r="B46" s="30"/>
      <c r="C46" s="30"/>
      <c r="D46" s="30"/>
      <c r="I46" s="1"/>
      <c r="J46" s="1"/>
      <c r="K46" s="1"/>
    </row>
    <row r="47" customFormat="false" ht="15.75" hidden="false" customHeight="true" outlineLevel="0" collapsed="false">
      <c r="B47" s="30"/>
      <c r="C47" s="30"/>
      <c r="D47" s="30"/>
      <c r="I47" s="1"/>
      <c r="J47" s="1"/>
      <c r="K47" s="1"/>
    </row>
    <row r="48" customFormat="false" ht="15.75" hidden="false" customHeight="true" outlineLevel="0" collapsed="false">
      <c r="B48" s="30"/>
      <c r="C48" s="30"/>
      <c r="D48" s="30"/>
      <c r="I48" s="1"/>
      <c r="J48" s="1"/>
      <c r="K48" s="1"/>
    </row>
    <row r="49" customFormat="false" ht="15.75" hidden="false" customHeight="true" outlineLevel="0" collapsed="false">
      <c r="B49" s="30"/>
      <c r="C49" s="30"/>
      <c r="D49" s="30"/>
      <c r="I49" s="1"/>
      <c r="J49" s="1"/>
      <c r="K49" s="1"/>
    </row>
    <row r="50" customFormat="false" ht="15.75" hidden="false" customHeight="true" outlineLevel="0" collapsed="false">
      <c r="B50" s="30"/>
      <c r="C50" s="30"/>
      <c r="D50" s="30"/>
      <c r="I50" s="1"/>
      <c r="J50" s="1"/>
      <c r="K50" s="1"/>
    </row>
    <row r="51" customFormat="false" ht="15.75" hidden="false" customHeight="true" outlineLevel="0" collapsed="false">
      <c r="B51" s="30"/>
      <c r="C51" s="30"/>
      <c r="D51" s="30"/>
      <c r="I51" s="1"/>
      <c r="J51" s="1"/>
      <c r="K51" s="1"/>
    </row>
    <row r="52" customFormat="false" ht="15.75" hidden="false" customHeight="true" outlineLevel="0" collapsed="false">
      <c r="B52" s="30"/>
      <c r="C52" s="30"/>
      <c r="D52" s="30"/>
      <c r="I52" s="1"/>
      <c r="J52" s="1"/>
      <c r="K52" s="1"/>
    </row>
    <row r="53" customFormat="false" ht="15.75" hidden="false" customHeight="true" outlineLevel="0" collapsed="false">
      <c r="B53" s="30"/>
      <c r="C53" s="30"/>
      <c r="D53" s="30"/>
      <c r="I53" s="1"/>
      <c r="J53" s="1"/>
      <c r="K53" s="1"/>
    </row>
    <row r="54" customFormat="false" ht="15.75" hidden="false" customHeight="true" outlineLevel="0" collapsed="false">
      <c r="B54" s="30"/>
      <c r="C54" s="30"/>
      <c r="D54" s="30"/>
      <c r="I54" s="1"/>
      <c r="J54" s="1"/>
      <c r="K54" s="1"/>
    </row>
    <row r="55" customFormat="false" ht="15.75" hidden="false" customHeight="true" outlineLevel="0" collapsed="false">
      <c r="B55" s="30"/>
      <c r="C55" s="30"/>
      <c r="D55" s="30"/>
      <c r="I55" s="1"/>
      <c r="J55" s="1"/>
      <c r="K55" s="1"/>
    </row>
    <row r="56" customFormat="false" ht="15.75" hidden="false" customHeight="true" outlineLevel="0" collapsed="false">
      <c r="B56" s="30"/>
      <c r="C56" s="30"/>
      <c r="D56" s="30"/>
      <c r="I56" s="1"/>
      <c r="J56" s="1"/>
      <c r="K56" s="1"/>
    </row>
    <row r="57" customFormat="false" ht="15.75" hidden="false" customHeight="true" outlineLevel="0" collapsed="false">
      <c r="B57" s="30"/>
      <c r="C57" s="30"/>
      <c r="D57" s="30"/>
      <c r="I57" s="1"/>
      <c r="J57" s="1"/>
      <c r="K57" s="1"/>
    </row>
    <row r="58" customFormat="false" ht="15.75" hidden="false" customHeight="true" outlineLevel="0" collapsed="false">
      <c r="B58" s="30"/>
      <c r="C58" s="30"/>
      <c r="D58" s="30"/>
      <c r="I58" s="1"/>
      <c r="J58" s="1"/>
      <c r="K58" s="1"/>
    </row>
    <row r="59" customFormat="false" ht="15.75" hidden="false" customHeight="true" outlineLevel="0" collapsed="false">
      <c r="B59" s="30"/>
      <c r="C59" s="30"/>
      <c r="D59" s="30"/>
      <c r="I59" s="1"/>
      <c r="J59" s="1"/>
      <c r="K59" s="1"/>
    </row>
    <row r="60" customFormat="false" ht="15.75" hidden="false" customHeight="true" outlineLevel="0" collapsed="false">
      <c r="B60" s="30"/>
      <c r="C60" s="30"/>
      <c r="D60" s="30"/>
      <c r="I60" s="1"/>
      <c r="J60" s="1"/>
      <c r="K60" s="1"/>
    </row>
    <row r="61" customFormat="false" ht="15.75" hidden="false" customHeight="true" outlineLevel="0" collapsed="false">
      <c r="B61" s="30"/>
      <c r="C61" s="30"/>
      <c r="D61" s="30"/>
      <c r="I61" s="1"/>
      <c r="J61" s="1"/>
      <c r="K61" s="1"/>
    </row>
    <row r="62" customFormat="false" ht="15.75" hidden="false" customHeight="true" outlineLevel="0" collapsed="false">
      <c r="B62" s="30"/>
      <c r="C62" s="30"/>
      <c r="D62" s="30"/>
      <c r="I62" s="1"/>
      <c r="J62" s="1"/>
      <c r="K62" s="1"/>
    </row>
    <row r="63" customFormat="false" ht="15.75" hidden="false" customHeight="true" outlineLevel="0" collapsed="false">
      <c r="B63" s="30"/>
      <c r="C63" s="30"/>
      <c r="D63" s="30"/>
      <c r="I63" s="1"/>
      <c r="J63" s="1"/>
      <c r="K63" s="1"/>
    </row>
    <row r="64" customFormat="false" ht="15.75" hidden="false" customHeight="true" outlineLevel="0" collapsed="false">
      <c r="B64" s="30"/>
      <c r="C64" s="30"/>
      <c r="D64" s="30"/>
      <c r="I64" s="1"/>
      <c r="J64" s="1"/>
      <c r="K64" s="1"/>
    </row>
    <row r="65" customFormat="false" ht="15.75" hidden="false" customHeight="true" outlineLevel="0" collapsed="false">
      <c r="B65" s="30"/>
      <c r="C65" s="30"/>
      <c r="D65" s="30"/>
      <c r="I65" s="1"/>
      <c r="J65" s="1"/>
      <c r="K65" s="1"/>
    </row>
    <row r="66" customFormat="false" ht="15.75" hidden="false" customHeight="true" outlineLevel="0" collapsed="false">
      <c r="B66" s="30"/>
      <c r="C66" s="30"/>
      <c r="D66" s="30"/>
      <c r="I66" s="1"/>
      <c r="J66" s="1"/>
      <c r="K66" s="1"/>
    </row>
    <row r="67" customFormat="false" ht="15.75" hidden="false" customHeight="true" outlineLevel="0" collapsed="false">
      <c r="B67" s="30"/>
      <c r="C67" s="30"/>
      <c r="D67" s="30"/>
      <c r="I67" s="1"/>
      <c r="J67" s="1"/>
      <c r="K67" s="1"/>
    </row>
    <row r="68" customFormat="false" ht="15.75" hidden="false" customHeight="true" outlineLevel="0" collapsed="false">
      <c r="B68" s="30"/>
      <c r="C68" s="30"/>
      <c r="D68" s="30"/>
      <c r="I68" s="1"/>
      <c r="J68" s="1"/>
      <c r="K68" s="1"/>
    </row>
    <row r="69" customFormat="false" ht="15.75" hidden="false" customHeight="true" outlineLevel="0" collapsed="false">
      <c r="B69" s="30"/>
      <c r="C69" s="30"/>
      <c r="D69" s="30"/>
      <c r="I69" s="1"/>
      <c r="J69" s="1"/>
      <c r="K69" s="1"/>
    </row>
    <row r="70" customFormat="false" ht="15.75" hidden="false" customHeight="true" outlineLevel="0" collapsed="false">
      <c r="B70" s="30"/>
      <c r="C70" s="30"/>
      <c r="D70" s="30"/>
      <c r="I70" s="1"/>
      <c r="J70" s="1"/>
      <c r="K70" s="1"/>
    </row>
    <row r="71" customFormat="false" ht="15.75" hidden="false" customHeight="true" outlineLevel="0" collapsed="false">
      <c r="B71" s="30"/>
      <c r="C71" s="30"/>
      <c r="D71" s="30"/>
      <c r="I71" s="1"/>
      <c r="J71" s="1"/>
      <c r="K71" s="1"/>
    </row>
    <row r="72" customFormat="false" ht="15.75" hidden="false" customHeight="true" outlineLevel="0" collapsed="false">
      <c r="B72" s="30"/>
      <c r="C72" s="30"/>
      <c r="D72" s="30"/>
      <c r="I72" s="1"/>
      <c r="J72" s="1"/>
      <c r="K72" s="1"/>
    </row>
    <row r="73" customFormat="false" ht="15.75" hidden="false" customHeight="true" outlineLevel="0" collapsed="false">
      <c r="B73" s="30"/>
      <c r="C73" s="30"/>
      <c r="D73" s="30"/>
      <c r="I73" s="1"/>
      <c r="J73" s="1"/>
      <c r="K73" s="1"/>
    </row>
    <row r="74" customFormat="false" ht="15.75" hidden="false" customHeight="true" outlineLevel="0" collapsed="false">
      <c r="B74" s="30"/>
      <c r="C74" s="30"/>
      <c r="D74" s="30"/>
      <c r="I74" s="1"/>
      <c r="J74" s="1"/>
      <c r="K74" s="1"/>
    </row>
    <row r="75" customFormat="false" ht="15.75" hidden="false" customHeight="true" outlineLevel="0" collapsed="false">
      <c r="B75" s="30"/>
      <c r="C75" s="30"/>
      <c r="D75" s="30"/>
      <c r="I75" s="1"/>
      <c r="J75" s="1"/>
      <c r="K75" s="1"/>
    </row>
    <row r="76" customFormat="false" ht="15.75" hidden="false" customHeight="true" outlineLevel="0" collapsed="false">
      <c r="B76" s="30"/>
      <c r="C76" s="30"/>
      <c r="D76" s="30"/>
      <c r="I76" s="1"/>
      <c r="J76" s="1"/>
      <c r="K76" s="1"/>
    </row>
    <row r="77" customFormat="false" ht="15.75" hidden="false" customHeight="true" outlineLevel="0" collapsed="false">
      <c r="B77" s="30"/>
      <c r="C77" s="30"/>
      <c r="D77" s="30"/>
      <c r="I77" s="1"/>
      <c r="J77" s="1"/>
      <c r="K77" s="1"/>
    </row>
    <row r="78" customFormat="false" ht="15.75" hidden="false" customHeight="true" outlineLevel="0" collapsed="false">
      <c r="B78" s="30"/>
      <c r="C78" s="30"/>
      <c r="D78" s="30"/>
      <c r="I78" s="1"/>
      <c r="J78" s="1"/>
      <c r="K78" s="1"/>
    </row>
    <row r="79" customFormat="false" ht="15.75" hidden="false" customHeight="true" outlineLevel="0" collapsed="false">
      <c r="B79" s="30"/>
      <c r="C79" s="30"/>
      <c r="D79" s="30"/>
      <c r="I79" s="1"/>
      <c r="J79" s="1"/>
      <c r="K79" s="1"/>
    </row>
    <row r="80" customFormat="false" ht="15.75" hidden="false" customHeight="true" outlineLevel="0" collapsed="false">
      <c r="B80" s="30"/>
      <c r="C80" s="30"/>
      <c r="D80" s="30"/>
      <c r="I80" s="1"/>
      <c r="J80" s="1"/>
      <c r="K80" s="1"/>
    </row>
    <row r="81" customFormat="false" ht="15.75" hidden="false" customHeight="true" outlineLevel="0" collapsed="false">
      <c r="B81" s="30"/>
      <c r="C81" s="30"/>
      <c r="D81" s="30"/>
      <c r="I81" s="1"/>
      <c r="J81" s="1"/>
      <c r="K81" s="1"/>
    </row>
    <row r="82" customFormat="false" ht="15.75" hidden="false" customHeight="true" outlineLevel="0" collapsed="false">
      <c r="B82" s="30"/>
      <c r="C82" s="30"/>
      <c r="D82" s="30"/>
      <c r="I82" s="1"/>
      <c r="J82" s="1"/>
      <c r="K82" s="1"/>
    </row>
    <row r="83" customFormat="false" ht="15.75" hidden="false" customHeight="true" outlineLevel="0" collapsed="false">
      <c r="B83" s="30"/>
      <c r="C83" s="30"/>
      <c r="D83" s="30"/>
      <c r="I83" s="1"/>
      <c r="J83" s="1"/>
      <c r="K83" s="1"/>
    </row>
    <row r="84" customFormat="false" ht="15.75" hidden="false" customHeight="true" outlineLevel="0" collapsed="false">
      <c r="B84" s="30"/>
      <c r="C84" s="30"/>
      <c r="D84" s="30"/>
      <c r="I84" s="1"/>
      <c r="J84" s="1"/>
      <c r="K84" s="1"/>
    </row>
    <row r="85" customFormat="false" ht="15.75" hidden="false" customHeight="true" outlineLevel="0" collapsed="false">
      <c r="B85" s="30"/>
      <c r="C85" s="30"/>
      <c r="D85" s="30"/>
      <c r="I85" s="1"/>
      <c r="J85" s="1"/>
      <c r="K85" s="1"/>
    </row>
    <row r="86" customFormat="false" ht="15.75" hidden="false" customHeight="true" outlineLevel="0" collapsed="false">
      <c r="B86" s="30"/>
      <c r="C86" s="30"/>
      <c r="D86" s="30"/>
      <c r="I86" s="1"/>
      <c r="J86" s="1"/>
      <c r="K86" s="1"/>
    </row>
    <row r="87" customFormat="false" ht="15.75" hidden="false" customHeight="true" outlineLevel="0" collapsed="false">
      <c r="B87" s="30"/>
      <c r="C87" s="30"/>
      <c r="D87" s="30"/>
      <c r="I87" s="1"/>
      <c r="J87" s="1"/>
      <c r="K87" s="1"/>
    </row>
    <row r="88" customFormat="false" ht="15.75" hidden="false" customHeight="true" outlineLevel="0" collapsed="false">
      <c r="B88" s="30"/>
      <c r="C88" s="30"/>
      <c r="D88" s="30"/>
      <c r="I88" s="1"/>
      <c r="J88" s="1"/>
      <c r="K88" s="1"/>
    </row>
    <row r="89" customFormat="false" ht="15.75" hidden="false" customHeight="true" outlineLevel="0" collapsed="false">
      <c r="B89" s="30"/>
      <c r="C89" s="30"/>
      <c r="D89" s="30"/>
      <c r="I89" s="1"/>
      <c r="J89" s="1"/>
      <c r="K89" s="1"/>
    </row>
    <row r="90" customFormat="false" ht="15.75" hidden="false" customHeight="true" outlineLevel="0" collapsed="false">
      <c r="B90" s="30"/>
      <c r="C90" s="30"/>
      <c r="D90" s="30"/>
      <c r="I90" s="1"/>
      <c r="J90" s="1"/>
      <c r="K90" s="1"/>
    </row>
    <row r="91" customFormat="false" ht="15.75" hidden="false" customHeight="true" outlineLevel="0" collapsed="false">
      <c r="B91" s="30"/>
      <c r="C91" s="30"/>
      <c r="D91" s="30"/>
      <c r="I91" s="1"/>
      <c r="J91" s="1"/>
      <c r="K91" s="1"/>
    </row>
    <row r="92" customFormat="false" ht="15.75" hidden="false" customHeight="true" outlineLevel="0" collapsed="false">
      <c r="B92" s="30"/>
      <c r="C92" s="30"/>
      <c r="D92" s="30"/>
      <c r="I92" s="1"/>
      <c r="J92" s="1"/>
      <c r="K92" s="1"/>
    </row>
    <row r="93" customFormat="false" ht="15.75" hidden="false" customHeight="true" outlineLevel="0" collapsed="false">
      <c r="B93" s="30"/>
      <c r="C93" s="30"/>
      <c r="D93" s="30"/>
      <c r="I93" s="1"/>
      <c r="J93" s="1"/>
      <c r="K93" s="1"/>
    </row>
    <row r="94" customFormat="false" ht="15.75" hidden="false" customHeight="true" outlineLevel="0" collapsed="false">
      <c r="B94" s="30"/>
      <c r="C94" s="30"/>
      <c r="D94" s="30"/>
      <c r="I94" s="1"/>
      <c r="J94" s="1"/>
      <c r="K94" s="1"/>
    </row>
    <row r="95" customFormat="false" ht="15.75" hidden="false" customHeight="true" outlineLevel="0" collapsed="false">
      <c r="B95" s="30"/>
      <c r="C95" s="30"/>
      <c r="D95" s="30"/>
      <c r="I95" s="1"/>
      <c r="J95" s="1"/>
      <c r="K95" s="1"/>
    </row>
    <row r="96" customFormat="false" ht="15.75" hidden="false" customHeight="true" outlineLevel="0" collapsed="false">
      <c r="B96" s="30"/>
      <c r="C96" s="30"/>
      <c r="D96" s="30"/>
      <c r="I96" s="1"/>
      <c r="J96" s="1"/>
      <c r="K96" s="1"/>
    </row>
    <row r="97" customFormat="false" ht="15.75" hidden="false" customHeight="true" outlineLevel="0" collapsed="false">
      <c r="B97" s="30"/>
      <c r="C97" s="30"/>
      <c r="D97" s="30"/>
      <c r="I97" s="1"/>
      <c r="J97" s="1"/>
      <c r="K97" s="1"/>
    </row>
    <row r="98" customFormat="false" ht="15.75" hidden="false" customHeight="true" outlineLevel="0" collapsed="false">
      <c r="B98" s="30"/>
      <c r="C98" s="30"/>
      <c r="D98" s="30"/>
      <c r="I98" s="1"/>
      <c r="J98" s="1"/>
      <c r="K98" s="1"/>
    </row>
    <row r="99" customFormat="false" ht="15.75" hidden="false" customHeight="true" outlineLevel="0" collapsed="false">
      <c r="B99" s="30"/>
      <c r="C99" s="30"/>
      <c r="D99" s="30"/>
      <c r="I99" s="1"/>
      <c r="J99" s="1"/>
      <c r="K99" s="1"/>
    </row>
    <row r="100" customFormat="false" ht="15.75" hidden="false" customHeight="true" outlineLevel="0" collapsed="false">
      <c r="B100" s="30"/>
      <c r="C100" s="30"/>
      <c r="D100" s="30"/>
      <c r="I100" s="1"/>
      <c r="J100" s="1"/>
      <c r="K1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A6"/>
    <pageSetUpPr fitToPage="false"/>
  </sheetPr>
  <dimension ref="A1:O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5" min="3" style="1" width="16"/>
    <col collapsed="false" customWidth="true" hidden="false" outlineLevel="0" max="6" min="6" style="1" width="4"/>
    <col collapsed="false" customWidth="true" hidden="false" outlineLevel="0" max="15" min="7" style="1" width="10"/>
  </cols>
  <sheetData>
    <row r="1" customFormat="false" ht="19.5" hidden="false" customHeight="true" outlineLevel="0" collapsed="false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customFormat="false" ht="33.75" hidden="false" customHeight="true" outlineLevel="0" collapsed="false">
      <c r="A2" s="70"/>
      <c r="B2" s="71" t="s">
        <v>67</v>
      </c>
      <c r="C2" s="71"/>
      <c r="D2" s="71"/>
      <c r="E2" s="71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customFormat="false" ht="19.5" hidden="false" customHeight="true" outlineLevel="0" collapsed="false">
      <c r="A3" s="70"/>
      <c r="B3" s="72" t="s">
        <v>68</v>
      </c>
      <c r="C3" s="72"/>
      <c r="D3" s="72"/>
      <c r="E3" s="72"/>
      <c r="F3" s="70"/>
      <c r="G3" s="70"/>
      <c r="H3" s="70"/>
      <c r="I3" s="70"/>
      <c r="J3" s="70"/>
      <c r="K3" s="70"/>
      <c r="L3" s="70"/>
      <c r="M3" s="70"/>
      <c r="N3" s="70"/>
      <c r="O3" s="70"/>
    </row>
    <row r="4" customFormat="false" ht="19.5" hidden="false" customHeight="true" outlineLevel="0" collapsed="false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customFormat="false" ht="19.5" hidden="false" customHeight="true" outlineLevel="0" collapsed="false">
      <c r="A5" s="70"/>
      <c r="B5" s="73" t="s">
        <v>69</v>
      </c>
      <c r="C5" s="73"/>
      <c r="D5" s="73"/>
      <c r="E5" s="73"/>
      <c r="F5" s="70"/>
      <c r="G5" s="70"/>
      <c r="H5" s="70"/>
      <c r="I5" s="70"/>
      <c r="J5" s="70"/>
      <c r="K5" s="70"/>
      <c r="L5" s="70"/>
      <c r="M5" s="70"/>
      <c r="N5" s="70"/>
      <c r="O5" s="70"/>
    </row>
    <row r="6" customFormat="false" ht="19.5" hidden="false" customHeight="true" outlineLevel="0" collapsed="false">
      <c r="A6" s="70"/>
      <c r="B6" s="74" t="s">
        <v>57</v>
      </c>
      <c r="C6" s="74"/>
      <c r="D6" s="74"/>
      <c r="E6" s="74"/>
      <c r="F6" s="70"/>
      <c r="G6" s="70"/>
      <c r="H6" s="70"/>
      <c r="I6" s="70"/>
      <c r="J6" s="70"/>
      <c r="K6" s="70"/>
      <c r="L6" s="70"/>
      <c r="M6" s="70"/>
      <c r="N6" s="70"/>
      <c r="O6" s="70"/>
    </row>
    <row r="7" customFormat="false" ht="19.5" hidden="false" customHeight="true" outlineLevel="0" collapsed="false">
      <c r="A7" s="70"/>
      <c r="B7" s="74"/>
      <c r="C7" s="74"/>
      <c r="D7" s="74"/>
      <c r="E7" s="74"/>
      <c r="F7" s="70"/>
      <c r="G7" s="70"/>
      <c r="H7" s="70"/>
      <c r="I7" s="70"/>
      <c r="J7" s="70"/>
      <c r="K7" s="70"/>
      <c r="L7" s="70"/>
      <c r="M7" s="70"/>
      <c r="N7" s="70"/>
      <c r="O7" s="70"/>
    </row>
    <row r="8" customFormat="false" ht="19.5" hidden="false" customHeight="true" outlineLevel="0" collapsed="false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</row>
    <row r="9" customFormat="false" ht="19.5" hidden="false" customHeight="true" outlineLevel="0" collapsed="false">
      <c r="A9" s="70"/>
      <c r="B9" s="73" t="s">
        <v>70</v>
      </c>
      <c r="C9" s="73"/>
      <c r="D9" s="73"/>
      <c r="E9" s="73"/>
      <c r="F9" s="70"/>
      <c r="G9" s="70"/>
      <c r="H9" s="70"/>
      <c r="I9" s="70"/>
      <c r="J9" s="70"/>
      <c r="K9" s="70"/>
      <c r="L9" s="70"/>
      <c r="M9" s="70"/>
      <c r="N9" s="70"/>
      <c r="O9" s="70"/>
    </row>
    <row r="10" customFormat="false" ht="19.5" hidden="false" customHeight="true" outlineLevel="0" collapsed="false">
      <c r="A10" s="70"/>
      <c r="B10" s="68" t="s">
        <v>71</v>
      </c>
      <c r="C10" s="75" t="s">
        <v>72</v>
      </c>
      <c r="D10" s="76"/>
      <c r="E10" s="76"/>
      <c r="F10" s="70"/>
      <c r="G10" s="70"/>
      <c r="H10" s="70"/>
      <c r="I10" s="70"/>
      <c r="J10" s="70"/>
      <c r="K10" s="70"/>
      <c r="L10" s="70"/>
      <c r="M10" s="70"/>
      <c r="N10" s="70"/>
      <c r="O10" s="70"/>
    </row>
    <row r="11" customFormat="false" ht="19.5" hidden="false" customHeight="true" outlineLevel="0" collapsed="false">
      <c r="A11" s="70"/>
      <c r="B11" s="68" t="s">
        <v>73</v>
      </c>
      <c r="C11" s="75" t="n">
        <v>50</v>
      </c>
      <c r="D11" s="76"/>
      <c r="E11" s="76"/>
      <c r="F11" s="70"/>
      <c r="G11" s="70"/>
      <c r="H11" s="70"/>
      <c r="I11" s="70"/>
      <c r="J11" s="70"/>
      <c r="K11" s="70"/>
      <c r="L11" s="70"/>
      <c r="M11" s="70"/>
      <c r="N11" s="70"/>
      <c r="O11" s="70"/>
    </row>
    <row r="12" customFormat="false" ht="19.5" hidden="false" customHeight="true" outlineLevel="0" collapsed="false">
      <c r="A12" s="70"/>
      <c r="B12" s="68" t="s">
        <v>74</v>
      </c>
      <c r="C12" s="75" t="str">
        <f aca="false">IF(C10="","",TEXT(TIMEVALUE(C10)+ (C11/1440),"hh:mm"))</f>
        <v>09:50</v>
      </c>
      <c r="D12" s="76"/>
      <c r="E12" s="76"/>
      <c r="F12" s="70"/>
      <c r="G12" s="70"/>
      <c r="H12" s="70"/>
      <c r="I12" s="70"/>
      <c r="J12" s="70"/>
      <c r="K12" s="70"/>
      <c r="L12" s="70"/>
      <c r="M12" s="70"/>
      <c r="N12" s="70"/>
      <c r="O12" s="70"/>
    </row>
    <row r="13" customFormat="false" ht="19.5" hidden="false" customHeight="true" outlineLevel="0" collapsed="false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</row>
    <row r="14" customFormat="false" ht="19.5" hidden="false" customHeight="true" outlineLevel="0" collapsed="false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 customFormat="false" ht="19.5" hidden="false" customHeight="true" outlineLevel="0" collapsed="false">
      <c r="A15" s="70"/>
      <c r="B15" s="77" t="s">
        <v>75</v>
      </c>
      <c r="C15" s="77"/>
      <c r="D15" s="77"/>
      <c r="E15" s="77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 customFormat="false" ht="19.5" hidden="false" customHeight="true" outlineLevel="0" collapsed="false">
      <c r="A16" s="70"/>
      <c r="B16" s="77"/>
      <c r="C16" s="77"/>
      <c r="D16" s="77"/>
      <c r="E16" s="77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customFormat="false" ht="19.5" hidden="false" customHeight="true" outlineLevel="0" collapsed="false">
      <c r="A17" s="70"/>
      <c r="B17" s="77"/>
      <c r="C17" s="77"/>
      <c r="D17" s="77"/>
      <c r="E17" s="77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customFormat="false" ht="19.5" hidden="false" customHeight="true" outlineLevel="0" collapsed="false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customFormat="false" ht="19.5" hidden="false" customHeight="true" outlineLevel="0" collapsed="false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customFormat="false" ht="19.5" hidden="false" customHeight="true" outlineLevel="0" collapsed="false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customFormat="false" ht="19.5" hidden="false" customHeight="true" outlineLevel="0" collapsed="false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customFormat="false" ht="19.5" hidden="false" customHeight="true" outlineLevel="0" collapsed="false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customFormat="false" ht="19.5" hidden="false" customHeight="true" outlineLevel="0" collapsed="false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 customFormat="false" ht="19.5" hidden="false" customHeight="true" outlineLevel="0" collapsed="false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</row>
    <row r="25" customFormat="false" ht="19.5" hidden="false" customHeight="true" outlineLevel="0" collapsed="false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</row>
    <row r="26" customFormat="false" ht="19.5" hidden="false" customHeight="true" outlineLevel="0" collapsed="false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customFormat="false" ht="19.5" hidden="false" customHeight="true" outlineLevel="0" collapsed="false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customFormat="false" ht="19.5" hidden="false" customHeight="true" outlineLevel="0" collapsed="false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</row>
    <row r="29" customFormat="false" ht="19.5" hidden="false" customHeight="true" outlineLevel="0" collapsed="false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customFormat="false" ht="19.5" hidden="false" customHeight="true" outlineLevel="0" collapsed="false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1" customFormat="false" ht="19.5" hidden="false" customHeight="true" outlineLevel="0" collapsed="false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</row>
    <row r="32" customFormat="false" ht="19.5" hidden="false" customHeight="true" outlineLevel="0" collapsed="false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3" customFormat="false" ht="19.5" hidden="false" customHeight="true" outlineLevel="0" collapsed="false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</row>
    <row r="34" customFormat="false" ht="19.5" hidden="false" customHeight="true" outlineLevel="0" collapsed="false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</row>
    <row r="35" customFormat="false" ht="19.5" hidden="false" customHeight="true" outlineLevel="0" collapsed="false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</row>
    <row r="36" customFormat="false" ht="19.5" hidden="false" customHeight="true" outlineLevel="0" collapsed="false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</row>
    <row r="37" customFormat="false" ht="19.5" hidden="false" customHeight="true" outlineLevel="0" collapsed="false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</row>
    <row r="38" customFormat="false" ht="19.5" hidden="false" customHeight="true" outlineLevel="0" collapsed="false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</row>
    <row r="39" customFormat="false" ht="19.5" hidden="false" customHeight="true" outlineLevel="0" collapsed="false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</row>
    <row r="40" customFormat="false" ht="19.5" hidden="false" customHeight="true" outlineLevel="0" collapsed="false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mergeCells count="6">
    <mergeCell ref="B2:E2"/>
    <mergeCell ref="B3:E3"/>
    <mergeCell ref="B5:E5"/>
    <mergeCell ref="B6:E7"/>
    <mergeCell ref="B9:E9"/>
    <mergeCell ref="B15:E17"/>
  </mergeCells>
  <dataValidations count="1">
    <dataValidation allowBlank="true" errorStyle="stop" operator="between" showDropDown="false" showErrorMessage="false" showInputMessage="false" sqref="B6" type="list">
      <formula1>TRACKER!$A$10:$A$19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2026-09-01T18:19:46Z</dcterms:created>
  <dc:creator>openpyxl</dc:creator>
  <dc:description/>
  <dc:language>en-US</dc:language>
  <cp:lastModifiedBy/>
  <dcterms:modified xsi:type="dcterms:W3CDTF">2026-09-05T03:25:13Z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